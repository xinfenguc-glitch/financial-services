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puts" sheetId="2" state="visible" r:id="rId4"/>
    <sheet name="Scenarios" sheetId="3" state="visible" r:id="rId5"/>
    <sheet name="Interim" sheetId="4" state="visible" r:id="rId6"/>
    <sheet name="Revenue Model" sheetId="5" state="visible" r:id="rId7"/>
    <sheet name="Income Statement" sheetId="6" state="visible" r:id="rId8"/>
    <sheet name="Cash Flow" sheetId="7" state="visible" r:id="rId9"/>
    <sheet name="Balance Sheet" sheetId="8" state="visible" r:id="rId10"/>
    <sheet name="DCF Inputs" sheetId="9" state="visible" r:id="rId11"/>
    <sheet name="DCF" sheetId="10" state="visible" r:id="rId12"/>
    <sheet name="Sensitivity" sheetId="11" state="visible" r:id="rId13"/>
    <sheet name="Comps" sheetId="12" state="visible" r:id="rId14"/>
    <sheet name="Valuation Summary" sheetId="13" state="visible" r:id="rId15"/>
    <sheet name="Checks" sheetId="14" state="visible" r:id="rId16"/>
  </sheets>
  <definedNames>
    <definedName function="false" hidden="false" localSheetId="7" name="_xlnm.Print_Titles" vbProcedure="false">'Balance Sheet'!$4:$4</definedName>
    <definedName function="false" hidden="false" localSheetId="6" name="_xlnm.Print_Titles" vbProcedure="false">'Cash Flow'!$4:$4</definedName>
    <definedName function="false" hidden="false" localSheetId="13" name="_xlnm.Print_Titles" vbProcedure="false">Checks!$4:$4</definedName>
    <definedName function="false" hidden="false" localSheetId="8" name="_xlnm.Print_Titles" vbProcedure="false">'DCF Inputs'!$4:$4</definedName>
    <definedName function="false" hidden="false" localSheetId="5" name="_xlnm.Print_Titles" vbProcedure="false">'Income Statement'!$4:$4</definedName>
    <definedName function="false" hidden="false" localSheetId="1" name="_xlnm.Print_Titles" vbProcedure="false">Inputs!$4:$4</definedName>
    <definedName function="false" hidden="false" localSheetId="3" name="_xlnm.Print_Titles" vbProcedure="false">Interim!$4:$4</definedName>
    <definedName function="false" hidden="false" localSheetId="4" name="_xlnm.Print_Titles" vbProcedure="false">'Revenue Model'!$4:$4</definedName>
    <definedName function="false" hidden="false" localSheetId="2" name="_xlnm.Print_Titles" vbProcedure="false">Scenarios!$4:$4</definedName>
    <definedName function="false" hidden="false" name="AllChecksPass" vbProcedure="false">Checks!$C$47</definedName>
    <definedName function="false" hidden="false" name="DCF_ValuePerShare" vbProcedure="false">DCF!$C$53</definedName>
    <definedName function="false" hidden="false" name="DilutedShares" vbProcedure="false">Inputs!$C$14</definedName>
    <definedName function="false" hidden="false" name="EPS_HK_FY2026E" vbProcedure="false">'Income Statement'!$H$59</definedName>
    <definedName function="false" hidden="false" name="EPS_HK_FY2027E" vbProcedure="false">'Income Statement'!$I$59</definedName>
    <definedName function="false" hidden="false" name="ExpectedTotalReturn" vbProcedure="false">'Valuation Summary'!$C$24</definedName>
    <definedName function="false" hidden="false" name="FX_HKD_per_USD" vbProcedure="false">Inputs!$C$7</definedName>
    <definedName function="false" hidden="false" name="NetCash_YE2026E" vbProcedure="false">'Balance Sheet'!$H$53</definedName>
    <definedName function="false" hidden="false" name="NetIncome_FY2026E" vbProcedure="false">'Income Statement'!$H$52</definedName>
    <definedName function="false" hidden="false" name="PriceTarget" vbProcedure="false">'Valuation Summary'!$C$20</definedName>
    <definedName function="false" hidden="false" name="Rating" vbProcedure="false">'Valuation Summary'!$C$25</definedName>
    <definedName function="false" hidden="false" name="ScenarioSelector" vbProcedure="false">Scenarios!$C$3</definedName>
    <definedName function="false" hidden="false" name="SharePrice" vbProcedure="false">Inputs!$C$6</definedName>
    <definedName function="false" hidden="false" name="SharesInIssue" vbProcedure="false">Inputs!$C$12</definedName>
    <definedName function="false" hidden="false" name="TerminalGrowth" vbProcedure="false">DCF!$C$16</definedName>
    <definedName function="false" hidden="false" name="WACC" vbProcedure="false">DCF!$C$15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<sst xmlns="http://schemas.openxmlformats.org/spreadsheetml/2006/main" count="1436" uniqueCount="855">
  <si>
    <t xml:space="preserve">SITC International Holdings Co Ltd (1308.HK)</t>
  </si>
  <si>
    <t xml:space="preserve">Financial model - initiating coverage, 25 October 2026</t>
  </si>
  <si>
    <t xml:space="preserve">Key outputs (active scenario)</t>
  </si>
  <si>
    <t xml:space="preserve">Active scenario</t>
  </si>
  <si>
    <t xml:space="preserve">Share price (HK$)</t>
  </si>
  <si>
    <t xml:space="preserve">Market cap (US$m)</t>
  </si>
  <si>
    <t xml:space="preserve">FY2026E diluted EPS (HK$)</t>
  </si>
  <si>
    <t xml:space="preserve">FY2027E diluted EPS (HK$)</t>
  </si>
  <si>
    <t xml:space="preserve">FY2026E P/E (x)</t>
  </si>
  <si>
    <t xml:space="preserve">FY2027E P/E (x)</t>
  </si>
  <si>
    <t xml:space="preserve">FY2026E DPS (HK$)</t>
  </si>
  <si>
    <t xml:space="preserve">FY2026E dividend yield</t>
  </si>
  <si>
    <t xml:space="preserve">Net cash excl. leases, YE2026E (US$m)</t>
  </si>
  <si>
    <t xml:space="preserve">DCF value per share (HK$)</t>
  </si>
  <si>
    <t xml:space="preserve">12-month price target (HK$)</t>
  </si>
  <si>
    <t xml:space="preserve">Expected 12-month total return</t>
  </si>
  <si>
    <t xml:space="preserve">Rating</t>
  </si>
  <si>
    <t xml:space="preserve">All checks pass</t>
  </si>
  <si>
    <t xml:space="preserve">Tabs</t>
  </si>
  <si>
    <t xml:space="preserve">Inputs</t>
  </si>
  <si>
    <t xml:space="preserve">Share price, FX, share count, declared dividends and opening balances.</t>
  </si>
  <si>
    <t xml:space="preserve">Scenarios</t>
  </si>
  <si>
    <t xml:space="preserve">Bull / Base / Bear drivers with selector (C3), common assumptions, and the stored scenario output table.</t>
  </si>
  <si>
    <t xml:space="preserve">Interim</t>
  </si>
  <si>
    <t xml:space="preserve">1H25A, 2H25A, 1H26A, 2H26E, 9M and quarterly bridge; FY2026E volume and rate are 9M26 actuals plus a Q4 estimate.</t>
  </si>
  <si>
    <t xml:space="preserve">Revenue Model</t>
  </si>
  <si>
    <t xml:space="preserve">Fleet capacity, volume, freight rate and revenue streams (27 rows); revenue by geography (16 rows).</t>
  </si>
  <si>
    <t xml:space="preserve">Income Statement</t>
  </si>
  <si>
    <t xml:space="preserve">FY2021A-FY2030E, cost of sales by line, unit costs, EBIT/EBITDA, segment result, EPS and DPS.</t>
  </si>
  <si>
    <t xml:space="preserve">Cash Flow</t>
  </si>
  <si>
    <t xml:space="preserve">Indirect method; capex and newbuild instalments, dividends (declared vs paid), revolver and free cash flow.</t>
  </si>
  <si>
    <t xml:space="preserve">Balance Sheet</t>
  </si>
  <si>
    <t xml:space="preserve">Full statement of financial position; PPE, ROU, advances and lease roll-forwards; net cash; ROE.</t>
  </si>
  <si>
    <t xml:space="preserve">DCF Inputs</t>
  </si>
  <si>
    <t xml:space="preserve">Unlevered free cash flow after leases; bridge items; cycle reference per TEU.</t>
  </si>
  <si>
    <t xml:space="preserve">DCF</t>
  </si>
  <si>
    <t xml:space="preserve">WACC build, FY2027E-30E UFCF, Gordon terminal value, equity bridge and reverse DCF.</t>
  </si>
  <si>
    <t xml:space="preserve">Sensitivity</t>
  </si>
  <si>
    <t xml:space="preserve">WACC x g and revenue CAGR x EBITDA margin DCF grids; P/E x scenario EPS; FY2027E freight-rate sensitivity.</t>
  </si>
  <si>
    <t xml:space="preserve">Comps</t>
  </si>
  <si>
    <t xml:space="preserve">12 listed container lines with statistical summary (max / 75th / median / 25th / min) and implied values.</t>
  </si>
  <si>
    <t xml:space="preserve">Valuation Summary</t>
  </si>
  <si>
    <t xml:space="preserve">Weighted price target, rating rule, cross-checks (DDM, justified P/B, scenarios) and probability weighting.</t>
  </si>
  <si>
    <t xml:space="preserve">Checks</t>
  </si>
  <si>
    <t xml:space="preserve">Balance, cash, tie-out of every historical total to the filings, scenario-store consistency.</t>
  </si>
  <si>
    <t xml:space="preserve">Conventions</t>
  </si>
  <si>
    <t xml:space="preserve">Blue</t>
  </si>
  <si>
    <t xml:space="preserve">Hard-coded input (reported historical figures and forecast assumptions)</t>
  </si>
  <si>
    <t xml:space="preserve">Black</t>
  </si>
  <si>
    <t xml:space="preserve">Formula</t>
  </si>
  <si>
    <t xml:space="preserve">Green</t>
  </si>
  <si>
    <t xml:space="preserve">Direct link to another tab</t>
  </si>
  <si>
    <t xml:space="preserve">Shaded columns</t>
  </si>
  <si>
    <t xml:space="preserve">Forecast periods (FY2026E-FY2030E; 2H26E and Q4 26E on Interim)</t>
  </si>
  <si>
    <t xml:space="preserve">Sources</t>
  </si>
  <si>
    <t xml:space="preserve">SITC annual reports 2022, 2023 and 2025; annual results announcements FY2018-FY2025; 2026 Interim Report (HKEX).</t>
  </si>
  <si>
    <t xml:space="preserve">Operating statistics for the nine months to 30-Sep-2026 and special dividend announcement (22-Oct-2026).</t>
  </si>
  <si>
    <t xml:space="preserve">Alphaliner Top 100 (25-Oct-2026) for fleet and order book; Yahoo Finance for price and FX (23-Oct-2026).</t>
  </si>
  <si>
    <t xml:space="preserve">Units: US$m unless stated (filings report US$'000). FY = year to 31 December.</t>
  </si>
  <si>
    <t xml:space="preserve">Prepared with AI assistance for professional review; not investment advice.</t>
  </si>
  <si>
    <t xml:space="preserve">SITC International Holdings (1308.HK) - Inputs</t>
  </si>
  <si>
    <t xml:space="preserve">Market data and fixed inputs. Blue = input; black = formula; green = link to another tab.</t>
  </si>
  <si>
    <t xml:space="preserve">Item</t>
  </si>
  <si>
    <t xml:space="preserve">Unit</t>
  </si>
  <si>
    <t xml:space="preserve">Value</t>
  </si>
  <si>
    <t xml:space="preserve">Source / note</t>
  </si>
  <si>
    <t xml:space="preserve">Market data</t>
  </si>
  <si>
    <t xml:space="preserve">Share price (last close, 23-Oct-2026)</t>
  </si>
  <si>
    <t xml:space="preserve">HK$</t>
  </si>
  <si>
    <t xml:space="preserve">Yahoo Finance chart API, 1308.HK, close 23-Oct-2026</t>
  </si>
  <si>
    <t xml:space="preserve">HK$ per US$</t>
  </si>
  <si>
    <t xml:space="preserve">HK$/US$</t>
  </si>
  <si>
    <t xml:space="preserve">Yahoo Finance HKD=X, 23-Oct-2026</t>
  </si>
  <si>
    <t xml:space="preserve">52-week high</t>
  </si>
  <si>
    <t xml:space="preserve">Yahoo Finance, 1-year range</t>
  </si>
  <si>
    <t xml:space="preserve">52-week low</t>
  </si>
  <si>
    <t xml:space="preserve">Valuation date</t>
  </si>
  <si>
    <t xml:space="preserve">date</t>
  </si>
  <si>
    <t xml:space="preserve">Report date</t>
  </si>
  <si>
    <t xml:space="preserve">Share count</t>
  </si>
  <si>
    <t xml:space="preserve">Ordinary shares in issue</t>
  </si>
  <si>
    <t xml:space="preserve">m</t>
  </si>
  <si>
    <t xml:space="preserve">HKEX monthly return for September 2026 (2,711,528,233 shares); includes ~34m held by the share-scheme trustee</t>
  </si>
  <si>
    <t xml:space="preserve">Dilution from outstanding share options</t>
  </si>
  <si>
    <t xml:space="preserve">2026 Interim Report note 9: share options had no dilutive effect in 1H26</t>
  </si>
  <si>
    <t xml:space="preserve">Shares used for per-share value</t>
  </si>
  <si>
    <t xml:space="preserve">Trustee-held scheme shares are deemed dilutive, so shares in issue is the diluted count</t>
  </si>
  <si>
    <t xml:space="preserve">Market capitalisation</t>
  </si>
  <si>
    <t xml:space="preserve">HK$m</t>
  </si>
  <si>
    <t xml:space="preserve">US$m</t>
  </si>
  <si>
    <t xml:space="preserve">Dividends already declared</t>
  </si>
  <si>
    <t xml:space="preserve">FY2026 interim dividend (paid Sep-2026)</t>
  </si>
  <si>
    <t xml:space="preserve">HK$/sh</t>
  </si>
  <si>
    <t xml:space="preserve">2026 interim results announcement, 19-Aug-2026</t>
  </si>
  <si>
    <t xml:space="preserve">FY2026 special dividend (ex 4-Dec-2026, paid 17-Dec-2026)</t>
  </si>
  <si>
    <t xml:space="preserve">Announcement 22-Oct-2026</t>
  </si>
  <si>
    <t xml:space="preserve">FY2026 dividends paid within 2026</t>
  </si>
  <si>
    <t xml:space="preserve">FY2025 final dividend paid in 2026 (cash)</t>
  </si>
  <si>
    <t xml:space="preserve">1H26 dividends paid US$587.4m less the 2025 special payable of US$242.8m at 31-Dec-2025</t>
  </si>
  <si>
    <t xml:space="preserve">Opening balances for FY2021 growth rates</t>
  </si>
  <si>
    <t xml:space="preserve">Fleet capacity, 31-Dec-2020</t>
  </si>
  <si>
    <t xml:space="preserve">TEU '000</t>
  </si>
  <si>
    <t xml:space="preserve">2020 annual results announcement</t>
  </si>
  <si>
    <t xml:space="preserve">Container shipping volume, FY2020</t>
  </si>
  <si>
    <t xml:space="preserve">Average freight rate excl. slot exchange, FY2020</t>
  </si>
  <si>
    <t xml:space="preserve">US$/TEU</t>
  </si>
  <si>
    <t xml:space="preserve">Cash and cash equivalents, 31-Dec-2020</t>
  </si>
  <si>
    <t xml:space="preserve">2022 Annual Report, consolidated statement of cash flows (2021 comparative)</t>
  </si>
  <si>
    <t xml:space="preserve">Financing policy</t>
  </si>
  <si>
    <t xml:space="preserve">Minimum cash and cash equivalents (revolver trigger)</t>
  </si>
  <si>
    <t xml:space="preserve">Our assumption; time deposits and FVTPL assets are set separately on Scenarios</t>
  </si>
  <si>
    <t xml:space="preserve">SITC International Holdings (1308.HK) - Scenarios</t>
  </si>
  <si>
    <t xml:space="preserve">Forecast drivers. Change C3 to switch the whole model between Bull (1), Base (2) and Bear (3).</t>
  </si>
  <si>
    <t xml:space="preserve">Active scenario (1 = Bull, 2 = Base, 3 = Bear)</t>
  </si>
  <si>
    <t xml:space="preserve">Driver</t>
  </si>
  <si>
    <t xml:space="preserve">FY2021A</t>
  </si>
  <si>
    <t xml:space="preserve">FY2022A</t>
  </si>
  <si>
    <t xml:space="preserve">FY2023A</t>
  </si>
  <si>
    <t xml:space="preserve">FY2024A</t>
  </si>
  <si>
    <t xml:space="preserve">FY2025A</t>
  </si>
  <si>
    <t xml:space="preserve">FY2026E</t>
  </si>
  <si>
    <t xml:space="preserve">FY2027E</t>
  </si>
  <si>
    <t xml:space="preserve">FY2028E</t>
  </si>
  <si>
    <t xml:space="preserve">FY2029E</t>
  </si>
  <si>
    <t xml:space="preserve">FY2030E</t>
  </si>
  <si>
    <t xml:space="preserve">Rationale / evidence</t>
  </si>
  <si>
    <t xml:space="preserve">Scenario drivers (Bull / Base / Bear; the Selected row feeds the model)</t>
  </si>
  <si>
    <t xml:space="preserve">Q4 2026 volume growth, year on year</t>
  </si>
  <si>
    <t xml:space="preserve">%</t>
  </si>
  <si>
    <t xml:space="preserve">9M26 +5.9% YoY; Q4 2025 was a strong base (1.10m TEU)</t>
  </si>
  <si>
    <t xml:space="preserve">   Bull</t>
  </si>
  <si>
    <t xml:space="preserve">   Base</t>
  </si>
  <si>
    <t xml:space="preserve">   Bear</t>
  </si>
  <si>
    <t xml:space="preserve">   Selected</t>
  </si>
  <si>
    <t xml:space="preserve">Q4 2026 average freight rate</t>
  </si>
  <si>
    <t xml:space="preserve">Q3 2026 implied US$865/TEU (Interim tab); Hormuz-related fuel and freight premium fading since July</t>
  </si>
  <si>
    <t xml:space="preserve">Container volume growth</t>
  </si>
  <si>
    <t xml:space="preserve">FY2017-25 CAGR 6.3%; newbuild deliveries raise capacity ~10% a year in 2027-28</t>
  </si>
  <si>
    <t xml:space="preserve">Average freight rate change</t>
  </si>
  <si>
    <t xml:space="preserve">Base returns the rate to about the 2024-25 level by 2028; bear revisits the 2023 trough (US$623)</t>
  </si>
  <si>
    <t xml:space="preserve">Vessel cost per average TEU slot, change</t>
  </si>
  <si>
    <t xml:space="preserve">Charter-hire relief as global deliveries land; owned newbuilds carry depreciation instead</t>
  </si>
  <si>
    <t xml:space="preserve">Other container logistics income growth</t>
  </si>
  <si>
    <t xml:space="preserve">1H26 +28.5% YoY</t>
  </si>
  <si>
    <t xml:space="preserve">Dividend payout (declared / attributable profit)</t>
  </si>
  <si>
    <t xml:space="preserve">FY2021-25 payout 70-93% of EPS incl. specials; policy allows up to 100%</t>
  </si>
  <si>
    <t xml:space="preserve">Common assumptions (all scenarios)</t>
  </si>
  <si>
    <t xml:space="preserve">Fleet</t>
  </si>
  <si>
    <t xml:space="preserve">Newbuild deliveries</t>
  </si>
  <si>
    <t xml:space="preserve">Alphaliner order book 66,232 TEU (25-Oct-2026), mostly for 2027-28 delivery; phasing is our estimate</t>
  </si>
  <si>
    <t xml:space="preserve">Disposals and charter redeliveries</t>
  </si>
  <si>
    <t xml:space="preserve">Our estimate; fleet 187,297 TEU on Alphaliner 25-Oct-2026</t>
  </si>
  <si>
    <t xml:space="preserve">Average newbuild cost</t>
  </si>
  <si>
    <t xml:space="preserve">US$'000/TEU</t>
  </si>
  <si>
    <t xml:space="preserve">US$763.3m commitments + US$124.3m advances at Jun-26 over ~66k TEU</t>
  </si>
  <si>
    <t xml:space="preserve">Revenue</t>
  </si>
  <si>
    <t xml:space="preserve">Slot exchange and other shipping income, % of freight revenue</t>
  </si>
  <si>
    <t xml:space="preserve">1H26 3.5% (fewer lanes: 74 vs 82); FY2021-25 4-9%</t>
  </si>
  <si>
    <t xml:space="preserve">Other sources revenue</t>
  </si>
  <si>
    <t xml:space="preserve">FY2025 US$2.7m</t>
  </si>
  <si>
    <t xml:space="preserve">Greater China share of revenue</t>
  </si>
  <si>
    <t xml:space="preserve">FY2025 48.5%</t>
  </si>
  <si>
    <t xml:space="preserve">Southeast Asia share of revenue</t>
  </si>
  <si>
    <t xml:space="preserve">FY2025 28.8%; supply-chain relocation</t>
  </si>
  <si>
    <t xml:space="preserve">Japan share of revenue</t>
  </si>
  <si>
    <t xml:space="preserve">FY2025 17.5%</t>
  </si>
  <si>
    <t xml:space="preserve">Cost of sales</t>
  </si>
  <si>
    <t xml:space="preserve">Equipment and cargo transportation cost per TEU, FY2026E</t>
  </si>
  <si>
    <t xml:space="preserve">1H26 US$273.5; FY2025 US$284.1</t>
  </si>
  <si>
    <t xml:space="preserve">Equipment and cargo cost per TEU, growth</t>
  </si>
  <si>
    <t xml:space="preserve">Port and trucking inflation</t>
  </si>
  <si>
    <t xml:space="preserve">Voyage cost per TEU, FY2026E</t>
  </si>
  <si>
    <t xml:space="preserve">1H26 US$115.0; 2H25 US$101.0; bunker up in 2026</t>
  </si>
  <si>
    <t xml:space="preserve">Voyage cost per TEU, change</t>
  </si>
  <si>
    <t xml:space="preserve">Bunker normalisation, newer ships</t>
  </si>
  <si>
    <t xml:space="preserve">Vessel cost per average TEU slot, FY2026E</t>
  </si>
  <si>
    <t xml:space="preserve">US$/slot</t>
  </si>
  <si>
    <t xml:space="preserve">1H26 annualised US$1,946; FY2025 US$1,804</t>
  </si>
  <si>
    <t xml:space="preserve">Other logistics costs, % of logistics income</t>
  </si>
  <si>
    <t xml:space="preserve">1H26 83.4%; FY2025 82.9%</t>
  </si>
  <si>
    <t xml:space="preserve">Other costs, % of other sources revenue</t>
  </si>
  <si>
    <t xml:space="preserve">FY2025 61%</t>
  </si>
  <si>
    <t xml:space="preserve">Other income statement items</t>
  </si>
  <si>
    <t xml:space="preserve">Interest yield on opening cash, deposits and FVTPL</t>
  </si>
  <si>
    <t xml:space="preserve">1H26 US$16.6m on ~US$0.95bn; deposit rates falling</t>
  </si>
  <si>
    <t xml:space="preserve">Gain on disposal of vessels</t>
  </si>
  <si>
    <t xml:space="preserve">1H26 US$6.2m (one vessel)</t>
  </si>
  <si>
    <t xml:space="preserve">Disposal proceeds</t>
  </si>
  <si>
    <t xml:space="preserve">1H26 US$24.9m</t>
  </si>
  <si>
    <t xml:space="preserve">Other income and gains (excl. interest and disposals)</t>
  </si>
  <si>
    <t xml:space="preserve">FY2021-25 US$8-19m</t>
  </si>
  <si>
    <t xml:space="preserve">Administrative expenses growth</t>
  </si>
  <si>
    <t xml:space="preserve">1H26 +17.1% (staff costs)</t>
  </si>
  <si>
    <t xml:space="preserve">Other expenses, net</t>
  </si>
  <si>
    <t xml:space="preserve">FY2021-25 US$1-6m</t>
  </si>
  <si>
    <t xml:space="preserve">Finance cost rate on opening leases and bank debt</t>
  </si>
  <si>
    <t xml:space="preserve">1H26 annualised 4.3%</t>
  </si>
  <si>
    <t xml:space="preserve">Share of JV profits, growth</t>
  </si>
  <si>
    <t xml:space="preserve">1H26 +25.9%</t>
  </si>
  <si>
    <t xml:space="preserve">Share of associates</t>
  </si>
  <si>
    <t xml:space="preserve">FY2025 US$1.7m</t>
  </si>
  <si>
    <t xml:space="preserve">JV dividends received, % of JV profit</t>
  </si>
  <si>
    <t xml:space="preserve">FY2025 89%</t>
  </si>
  <si>
    <t xml:space="preserve">Effective tax rate</t>
  </si>
  <si>
    <t xml:space="preserve">Shipping income largely exempt; FY2025 1.7%, 1H26 1.7%</t>
  </si>
  <si>
    <t xml:space="preserve">Non-controlling interests, % of profit</t>
  </si>
  <si>
    <t xml:space="preserve">FY2025 0.6%</t>
  </si>
  <si>
    <t xml:space="preserve">Share award expense</t>
  </si>
  <si>
    <t xml:space="preserve">FY2022-25 US$27-28m</t>
  </si>
  <si>
    <t xml:space="preserve">Fixed assets, leases and capex</t>
  </si>
  <si>
    <t xml:space="preserve">PPE depreciation, % of opening PPE</t>
  </si>
  <si>
    <t xml:space="preserve">FY2025 6.3%; 1H26 annualised 6.4%</t>
  </si>
  <si>
    <t xml:space="preserve">ROU depreciation, % of opening ROU assets</t>
  </si>
  <si>
    <t xml:space="preserve">1H26 annualised 20.6%</t>
  </si>
  <si>
    <t xml:space="preserve">New leases (ROU additions)</t>
  </si>
  <si>
    <t xml:space="preserve">Keeps the chartered fleet roughly flat</t>
  </si>
  <si>
    <t xml:space="preserve">Lease principal paid, x ROU depreciation</t>
  </si>
  <si>
    <t xml:space="preserve">x</t>
  </si>
  <si>
    <t xml:space="preserve">FY2023-25 1.08-1.21x; 1H26 1.10x</t>
  </si>
  <si>
    <t xml:space="preserve">Current share of lease liabilities</t>
  </si>
  <si>
    <t xml:space="preserve">Jun-26 22.8%</t>
  </si>
  <si>
    <t xml:space="preserve">Newbuild instalments (current order book)</t>
  </si>
  <si>
    <t xml:space="preserve">1H26 US$71.9m paid; US$763.3m committed at Jun-26; phasing is our estimate</t>
  </si>
  <si>
    <t xml:space="preserve">Instalments on future fleet-renewal orders</t>
  </si>
  <si>
    <t xml:space="preserve">Our assumption: renewal ordering resumes from 2029</t>
  </si>
  <si>
    <t xml:space="preserve">Other capex (containers, equipment, dry-docking)</t>
  </si>
  <si>
    <t xml:space="preserve">1H26 PPE purchases US$5.5m</t>
  </si>
  <si>
    <t xml:space="preserve">Working capital</t>
  </si>
  <si>
    <t xml:space="preserve">Trade receivables, days of revenue</t>
  </si>
  <si>
    <t xml:space="preserve">days</t>
  </si>
  <si>
    <t xml:space="preserve">FY2025 19.7; Jun-26 23.4</t>
  </si>
  <si>
    <t xml:space="preserve">Bunkers, days of voyage costs</t>
  </si>
  <si>
    <t xml:space="preserve">FY2025 46.6</t>
  </si>
  <si>
    <t xml:space="preserve">Prepayments and other receivables, % of revenue</t>
  </si>
  <si>
    <t xml:space="preserve">FY2024-25 1.1-1.8%</t>
  </si>
  <si>
    <t xml:space="preserve">Trade payables, days of cost of sales</t>
  </si>
  <si>
    <t xml:space="preserve">FY2025 40.9</t>
  </si>
  <si>
    <t xml:space="preserve">Other payables and accruals, % of revenue</t>
  </si>
  <si>
    <t xml:space="preserve">FY2025 4.8%</t>
  </si>
  <si>
    <t xml:space="preserve">Income tax payable, % of tax charge</t>
  </si>
  <si>
    <t xml:space="preserve">FY2025 18.6%</t>
  </si>
  <si>
    <t xml:space="preserve">Treasury, shares and dividends</t>
  </si>
  <si>
    <t xml:space="preserve">Time deposits over three months (year end)</t>
  </si>
  <si>
    <t xml:space="preserve">Jun-26 US$720.2m</t>
  </si>
  <si>
    <t xml:space="preserve">Financial assets at FVTPL (year end)</t>
  </si>
  <si>
    <t xml:space="preserve">Jun-26 US$73.7m</t>
  </si>
  <si>
    <t xml:space="preserve">Existing bank loans (year end)</t>
  </si>
  <si>
    <t xml:space="preserve">Jun-26 US$33.1m</t>
  </si>
  <si>
    <t xml:space="preserve">Dividend payable at year end</t>
  </si>
  <si>
    <t xml:space="preserve">Only the Dec-2025 special was declared before and paid after a year end</t>
  </si>
  <si>
    <t xml:space="preserve">Share purchases for the share scheme</t>
  </si>
  <si>
    <t xml:space="preserve">FY2025 US$0.9m; FY2021-23 US$22-48m</t>
  </si>
  <si>
    <t xml:space="preserve">Dividends to NCI, % of NCI profit</t>
  </si>
  <si>
    <t xml:space="preserve">Our assumption</t>
  </si>
  <si>
    <t xml:space="preserve">Share of declared dividend paid within the year</t>
  </si>
  <si>
    <t xml:space="preserve">Interim + specials; FY2026 uses the declared HK$2.50 (Inputs)</t>
  </si>
  <si>
    <t xml:space="preserve">Weighted average basic shares</t>
  </si>
  <si>
    <t xml:space="preserve">1H26 2,669.6m; scheme shares vest over time</t>
  </si>
  <si>
    <t xml:space="preserve">Dilutive shares (scheme shares held by trustee)</t>
  </si>
  <si>
    <t xml:space="preserve">1H26 33.9m</t>
  </si>
  <si>
    <t xml:space="preserve">Scenario outputs: values stored from full model runs with C3 = 1, 2, 3; "Live" follows the active scenario</t>
  </si>
  <si>
    <t xml:space="preserve">Metric</t>
  </si>
  <si>
    <t xml:space="preserve">Bull</t>
  </si>
  <si>
    <t xml:space="preserve">Base</t>
  </si>
  <si>
    <t xml:space="preserve">Bear</t>
  </si>
  <si>
    <t xml:space="preserve">Live</t>
  </si>
  <si>
    <t xml:space="preserve">Live = stored</t>
  </si>
  <si>
    <t xml:space="preserve">Revenue FY2026E (US$m)</t>
  </si>
  <si>
    <t xml:space="preserve">Revenue FY2027E (US$m)</t>
  </si>
  <si>
    <t xml:space="preserve">Revenue FY2028E (US$m)</t>
  </si>
  <si>
    <t xml:space="preserve">Revenue FY2030E (US$m)</t>
  </si>
  <si>
    <t xml:space="preserve">Revenue CAGR FY2025A-30E</t>
  </si>
  <si>
    <t xml:space="preserve">Average freight rate FY2028E (US$/TEU)</t>
  </si>
  <si>
    <t xml:space="preserve">Gross margin FY2028E</t>
  </si>
  <si>
    <t xml:space="preserve">EBITDA FY2028E (US$m)</t>
  </si>
  <si>
    <t xml:space="preserve">EBITDA margin FY2030E</t>
  </si>
  <si>
    <t xml:space="preserve">Attributable profit FY2026E (US$m)</t>
  </si>
  <si>
    <t xml:space="preserve">Attributable profit FY2027E (US$m)</t>
  </si>
  <si>
    <t xml:space="preserve">Attributable profit FY2028E (US$m)</t>
  </si>
  <si>
    <t xml:space="preserve">Attributable profit FY2030E (US$m)</t>
  </si>
  <si>
    <t xml:space="preserve">Diluted EPS FY2026E (HK$)</t>
  </si>
  <si>
    <t xml:space="preserve">Diluted EPS FY2027E (HK$)</t>
  </si>
  <si>
    <t xml:space="preserve">Diluted EPS FY2028E (HK$)</t>
  </si>
  <si>
    <t xml:space="preserve">DPS FY2027E (HK$)</t>
  </si>
  <si>
    <t xml:space="preserve">Free cash flow after leases FY2030E (US$m)</t>
  </si>
  <si>
    <t xml:space="preserve">Cumulative free cash flow FY2026E-30E (US$m)</t>
  </si>
  <si>
    <t xml:space="preserve">Net cash excl. leases, YE2030E (US$m)</t>
  </si>
  <si>
    <t xml:space="preserve">ROE FY2028E</t>
  </si>
  <si>
    <t xml:space="preserve">Price-implied terminal UFCF vs model FY2030E</t>
  </si>
  <si>
    <t xml:space="preserve">All live outputs match the stored run for the active scenario</t>
  </si>
  <si>
    <t xml:space="preserve">Stored values are pasted by the build script after recalculating each scenario in LibreOffice; rerun the build after changing a driver.</t>
  </si>
  <si>
    <t xml:space="preserve">SITC International Holdings (1308.HK) - Interim</t>
  </si>
  <si>
    <t xml:space="preserve">Half-year and quarterly bridge. 1H and 9M actuals from HKEX filings; 2H and Q4 derived; FY2026E links to the annual model.</t>
  </si>
  <si>
    <t xml:space="preserve">US$m unless stated</t>
  </si>
  <si>
    <t xml:space="preserve">1H25A</t>
  </si>
  <si>
    <t xml:space="preserve">2H25A</t>
  </si>
  <si>
    <t xml:space="preserve">1H26A</t>
  </si>
  <si>
    <t xml:space="preserve">2H26E</t>
  </si>
  <si>
    <t xml:space="preserve">9M25A</t>
  </si>
  <si>
    <t xml:space="preserve">9M26A</t>
  </si>
  <si>
    <t xml:space="preserve">Q4 25A</t>
  </si>
  <si>
    <t xml:space="preserve">Q4 26E</t>
  </si>
  <si>
    <t xml:space="preserve">Q3 25A</t>
  </si>
  <si>
    <t xml:space="preserve">Q3 26A</t>
  </si>
  <si>
    <t xml:space="preserve">Note</t>
  </si>
  <si>
    <t xml:space="preserve">Operating statistics</t>
  </si>
  <si>
    <t xml:space="preserve">Container shipping volume</t>
  </si>
  <si>
    <t xml:space="preserve">Interim reports; 9M operating statistics announcements (22-Oct-2026)</t>
  </si>
  <si>
    <t xml:space="preserve">   Volume growth, year on year</t>
  </si>
  <si>
    <t xml:space="preserve">Average freight rate (excl. slot exchange)</t>
  </si>
  <si>
    <t xml:space="preserve">Q4 and Q3 rates derived from cumulative period averages</t>
  </si>
  <si>
    <t xml:space="preserve">   Freight rate change, year on year</t>
  </si>
  <si>
    <t xml:space="preserve">9M figures are rounded to US$0.1m in the announcements</t>
  </si>
  <si>
    <t xml:space="preserve">   Revenue growth, year on year</t>
  </si>
  <si>
    <t xml:space="preserve">   Revenue per TEU lifted</t>
  </si>
  <si>
    <t xml:space="preserve">Half-year income statement</t>
  </si>
  <si>
    <t xml:space="preserve">Container shipping and supporting logistics income</t>
  </si>
  <si>
    <t xml:space="preserve">Other container logistics income</t>
  </si>
  <si>
    <t xml:space="preserve">Other sources</t>
  </si>
  <si>
    <t xml:space="preserve">Total revenue</t>
  </si>
  <si>
    <t xml:space="preserve">Equipment and cargo transportation costs</t>
  </si>
  <si>
    <t xml:space="preserve">Voyage costs</t>
  </si>
  <si>
    <t xml:space="preserve">Container shipping vessel costs</t>
  </si>
  <si>
    <t xml:space="preserve">Other container logistics costs</t>
  </si>
  <si>
    <t xml:space="preserve">Other costs</t>
  </si>
  <si>
    <t xml:space="preserve">Total cost of sales</t>
  </si>
  <si>
    <t xml:space="preserve">Gross profit</t>
  </si>
  <si>
    <t xml:space="preserve">   Gross margin</t>
  </si>
  <si>
    <t xml:space="preserve">Other income and gains (excl. interest)</t>
  </si>
  <si>
    <t xml:space="preserve">1H26 incl. US$6.2m vessel disposal gain (1H25 US$13.8m)</t>
  </si>
  <si>
    <t xml:space="preserve">Administrative expenses</t>
  </si>
  <si>
    <t xml:space="preserve">Share of JV profits</t>
  </si>
  <si>
    <t xml:space="preserve">Segment results</t>
  </si>
  <si>
    <t xml:space="preserve">Finance costs</t>
  </si>
  <si>
    <t xml:space="preserve">Bank interest income and FV gains</t>
  </si>
  <si>
    <t xml:space="preserve">Profit before tax</t>
  </si>
  <si>
    <t xml:space="preserve">Income tax</t>
  </si>
  <si>
    <t xml:space="preserve">Profit for the period</t>
  </si>
  <si>
    <t xml:space="preserve">Non-controlling interests</t>
  </si>
  <si>
    <t xml:space="preserve">Profit attributable to shareholders</t>
  </si>
  <si>
    <t xml:space="preserve">Depreciation of PPE (memo)</t>
  </si>
  <si>
    <t xml:space="preserve">Depreciation of ROU assets (memo)</t>
  </si>
  <si>
    <t xml:space="preserve">Half-year unit economics</t>
  </si>
  <si>
    <t xml:space="preserve">Equipment and cargo cost per TEU</t>
  </si>
  <si>
    <t xml:space="preserve">Voyage cost per TEU</t>
  </si>
  <si>
    <t xml:space="preserve">Total cost of sales per TEU</t>
  </si>
  <si>
    <t xml:space="preserve">Gross profit per TEU</t>
  </si>
  <si>
    <t xml:space="preserve">Segment result margin</t>
  </si>
  <si>
    <t xml:space="preserve">SITC International Holdings (1308.HK) - Revenue Model</t>
  </si>
  <si>
    <t xml:space="preserve">Fleet, volume and freight-rate drivers; revenue by stream and by geography. US$m unless stated.</t>
  </si>
  <si>
    <t xml:space="preserve">Source / assumption</t>
  </si>
  <si>
    <t xml:space="preserve">A. Fleet, volume and freight rate</t>
  </si>
  <si>
    <t xml:space="preserve">Fleet capacity, start of year</t>
  </si>
  <si>
    <t xml:space="preserve">   Newbuild deliveries</t>
  </si>
  <si>
    <t xml:space="preserve">   Disposals and charter redeliveries</t>
  </si>
  <si>
    <t xml:space="preserve">Fleet capacity, year end</t>
  </si>
  <si>
    <t xml:space="preserve">Annual reports (operated fleet incl. chartered); 2025: 119 vessels</t>
  </si>
  <si>
    <t xml:space="preserve">   Fleet capacity growth</t>
  </si>
  <si>
    <t xml:space="preserve">Average fleet capacity</t>
  </si>
  <si>
    <t xml:space="preserve">Annual results; FY2026E = 9M26 actual + Q4 estimate (Interim tab)</t>
  </si>
  <si>
    <t xml:space="preserve">   Volume growth</t>
  </si>
  <si>
    <t xml:space="preserve">   Liftings per average TEU slot</t>
  </si>
  <si>
    <t xml:space="preserve">Asset turns: volume / average capacity</t>
  </si>
  <si>
    <t xml:space="preserve">   Freight rate change</t>
  </si>
  <si>
    <t xml:space="preserve">Freight revenue (volume x rate)</t>
  </si>
  <si>
    <t xml:space="preserve">   Slot exchange and other, % of freight revenue</t>
  </si>
  <si>
    <t xml:space="preserve">Slot exchange, surcharges and other shipping income</t>
  </si>
  <si>
    <t xml:space="preserve">Historical figures are the residual of reported shipping income</t>
  </si>
  <si>
    <t xml:space="preserve">   Growth</t>
  </si>
  <si>
    <t xml:space="preserve">   Shipping income per TEU lifted</t>
  </si>
  <si>
    <t xml:space="preserve">Freight forwarding, depots, warehousing, trucking</t>
  </si>
  <si>
    <t xml:space="preserve">   Logistics income per TEU lifted</t>
  </si>
  <si>
    <t xml:space="preserve">Other sources (dry bulk and other)</t>
  </si>
  <si>
    <t xml:space="preserve">   Revenue growth</t>
  </si>
  <si>
    <t xml:space="preserve">   Mix: container shipping</t>
  </si>
  <si>
    <t xml:space="preserve">   Mix: other container logistics</t>
  </si>
  <si>
    <t xml:space="preserve">   Mix: other sources</t>
  </si>
  <si>
    <t xml:space="preserve">   Revenue per average TEU slot</t>
  </si>
  <si>
    <t xml:space="preserve">US$'000</t>
  </si>
  <si>
    <t xml:space="preserve">B. Revenue by geography (location of service)</t>
  </si>
  <si>
    <t xml:space="preserve">Greater China</t>
  </si>
  <si>
    <t xml:space="preserve">Annual reports, geographical information</t>
  </si>
  <si>
    <t xml:space="preserve">Southeast Asia</t>
  </si>
  <si>
    <t xml:space="preserve">Japan</t>
  </si>
  <si>
    <t xml:space="preserve">Others</t>
  </si>
  <si>
    <t xml:space="preserve">Total revenue by geography</t>
  </si>
  <si>
    <t xml:space="preserve">Difference to total revenue</t>
  </si>
  <si>
    <t xml:space="preserve">   Greater China share</t>
  </si>
  <si>
    <t xml:space="preserve">   Southeast Asia share</t>
  </si>
  <si>
    <t xml:space="preserve">   Japan share</t>
  </si>
  <si>
    <t xml:space="preserve">   Others share</t>
  </si>
  <si>
    <t xml:space="preserve">   Greater China growth</t>
  </si>
  <si>
    <t xml:space="preserve">   Southeast Asia growth</t>
  </si>
  <si>
    <t xml:space="preserve">   Japan growth</t>
  </si>
  <si>
    <t xml:space="preserve">   Others growth</t>
  </si>
  <si>
    <t xml:space="preserve">Revenue outside Greater China</t>
  </si>
  <si>
    <t xml:space="preserve">   Share outside Greater China</t>
  </si>
  <si>
    <t xml:space="preserve">SITC International Holdings (1308.HK) - Income Statement</t>
  </si>
  <si>
    <t xml:space="preserve">Consolidated income statement, FY2021A-FY2030E. US$m unless stated; costs negative.</t>
  </si>
  <si>
    <t xml:space="preserve">Annual results; FY2023 derived as total cost of sales less the other lines</t>
  </si>
  <si>
    <t xml:space="preserve">Voyage costs (bunker, port charges)</t>
  </si>
  <si>
    <t xml:space="preserve">Container shipping vessel costs (depreciation, charter hire, crew)</t>
  </si>
  <si>
    <t xml:space="preserve">FY2021-22: dry bulk cost of sales</t>
  </si>
  <si>
    <t xml:space="preserve">Unit costs (memo)</t>
  </si>
  <si>
    <t xml:space="preserve">Vessel cost per average TEU slot</t>
  </si>
  <si>
    <t xml:space="preserve">Total cost of sales per TEU lifted</t>
  </si>
  <si>
    <t xml:space="preserve">Gross profit per TEU lifted</t>
  </si>
  <si>
    <t xml:space="preserve">Operating items</t>
  </si>
  <si>
    <t xml:space="preserve">Gain on disposal of vessels and equipment</t>
  </si>
  <si>
    <t xml:space="preserve">Other income and gains</t>
  </si>
  <si>
    <t xml:space="preserve">Residual of reported other income and gains</t>
  </si>
  <si>
    <t xml:space="preserve">   Administrative expenses, % of revenue</t>
  </si>
  <si>
    <t xml:space="preserve">EBIT (excl. JVs, associates and interest income)</t>
  </si>
  <si>
    <t xml:space="preserve">   EBIT margin</t>
  </si>
  <si>
    <t xml:space="preserve">   Depreciation of PPE</t>
  </si>
  <si>
    <t xml:space="preserve">Mostly within vessel costs in cost of sales</t>
  </si>
  <si>
    <t xml:space="preserve">   Depreciation of right-of-use assets</t>
  </si>
  <si>
    <t xml:space="preserve">Depreciation and amortisation</t>
  </si>
  <si>
    <t xml:space="preserve">EBITDA</t>
  </si>
  <si>
    <t xml:space="preserve">   EBITDA margin</t>
  </si>
  <si>
    <t xml:space="preserve">Share of profits of joint ventures</t>
  </si>
  <si>
    <t xml:space="preserve">Share of profits of associates</t>
  </si>
  <si>
    <t xml:space="preserve">Segment results (company definition)</t>
  </si>
  <si>
    <t xml:space="preserve">Ties to the reported segment result in every historical year (Checks)</t>
  </si>
  <si>
    <t xml:space="preserve">Bank interest, investment income and FV gains</t>
  </si>
  <si>
    <t xml:space="preserve">Finance costs (leases and bank loans)</t>
  </si>
  <si>
    <t xml:space="preserve">   Effective tax rate</t>
  </si>
  <si>
    <t xml:space="preserve">Profit for the year</t>
  </si>
  <si>
    <t xml:space="preserve">   Net margin</t>
  </si>
  <si>
    <t xml:space="preserve">Per share</t>
  </si>
  <si>
    <t xml:space="preserve">Weighted average shares, basic</t>
  </si>
  <si>
    <t xml:space="preserve">Excludes shares held by the scheme trustee</t>
  </si>
  <si>
    <t xml:space="preserve">Weighted average shares, diluted</t>
  </si>
  <si>
    <t xml:space="preserve">Basic EPS</t>
  </si>
  <si>
    <t xml:space="preserve">US$</t>
  </si>
  <si>
    <t xml:space="preserve">Diluted EPS</t>
  </si>
  <si>
    <t xml:space="preserve">Diluted EPS at current HK$/US$</t>
  </si>
  <si>
    <t xml:space="preserve">Dividend per share declared for the year</t>
  </si>
  <si>
    <t xml:space="preserve">Incl. specials. FY2021 3.20; FY2022 4.00; FY2023 1.10; FY2024 2.52; FY2025 3.00</t>
  </si>
  <si>
    <t xml:space="preserve">   Payout ratio</t>
  </si>
  <si>
    <t xml:space="preserve">Historical payout on current FX (approximation)</t>
  </si>
  <si>
    <t xml:space="preserve">Share award expense (memo, within admin)</t>
  </si>
  <si>
    <t xml:space="preserve">SITC International Holdings (1308.HK) - Cash Flow</t>
  </si>
  <si>
    <t xml:space="preserve">Consolidated cash flow statement; outflows negative. US$m.</t>
  </si>
  <si>
    <t xml:space="preserve">Operating activities</t>
  </si>
  <si>
    <t xml:space="preserve">   Depreciation and amortisation</t>
  </si>
  <si>
    <t xml:space="preserve">   Share award expense</t>
  </si>
  <si>
    <t xml:space="preserve">   Share of JV and associate profits</t>
  </si>
  <si>
    <t xml:space="preserve">   Gain on disposal of vessels and equipment</t>
  </si>
  <si>
    <t xml:space="preserve">   Change in bunkers</t>
  </si>
  <si>
    <t xml:space="preserve">   Change in trade receivables</t>
  </si>
  <si>
    <t xml:space="preserve">   Change in prepayments and other receivables</t>
  </si>
  <si>
    <t xml:space="preserve">   Change in trade payables</t>
  </si>
  <si>
    <t xml:space="preserve">   Change in other payables and accruals</t>
  </si>
  <si>
    <t xml:space="preserve">   Change in income tax payable</t>
  </si>
  <si>
    <t xml:space="preserve">   Working capital and other items (historical residual)</t>
  </si>
  <si>
    <t xml:space="preserve">Reported operating cash flow less the lines above</t>
  </si>
  <si>
    <t xml:space="preserve">Net cash from operating activities</t>
  </si>
  <si>
    <t xml:space="preserve">Investing activities</t>
  </si>
  <si>
    <t xml:space="preserve">   Purchases of PPE (FY2026E on: containers, equipment, dry-docking)</t>
  </si>
  <si>
    <t xml:space="preserve">   Advance payments for vessels (newbuild instalments)</t>
  </si>
  <si>
    <t xml:space="preserve">   Proceeds from disposal of vessels and equipment</t>
  </si>
  <si>
    <t xml:space="preserve">   Dividends from joint ventures</t>
  </si>
  <si>
    <t xml:space="preserve">   Change in time deposits and FVTPL assets</t>
  </si>
  <si>
    <t xml:space="preserve">   Deposits, investments and other (historical residual)</t>
  </si>
  <si>
    <t xml:space="preserve">Net cash from investing activities</t>
  </si>
  <si>
    <t xml:space="preserve">Financing activities</t>
  </si>
  <si>
    <t xml:space="preserve">   Dividends paid to shareholders</t>
  </si>
  <si>
    <t xml:space="preserve">   Dividends paid to non-controlling interests</t>
  </si>
  <si>
    <t xml:space="preserve">   Principal portion of lease payments</t>
  </si>
  <si>
    <t xml:space="preserve">   New bank loans</t>
  </si>
  <si>
    <t xml:space="preserve">   Repayment of bank loans</t>
  </si>
  <si>
    <t xml:space="preserve">   Net change in existing bank loans</t>
  </si>
  <si>
    <t xml:space="preserve">   Purchase of shares for the share scheme</t>
  </si>
  <si>
    <t xml:space="preserve">   Other financing (historical residual: NCI dividends, option proceeds)</t>
  </si>
  <si>
    <t xml:space="preserve">Financing cash flow before revolver</t>
  </si>
  <si>
    <t xml:space="preserve">   Revolver drawdown / (repayment)</t>
  </si>
  <si>
    <t xml:space="preserve">Net cash from financing activities</t>
  </si>
  <si>
    <t xml:space="preserve">   Effect of exchange rate changes (historical)</t>
  </si>
  <si>
    <t xml:space="preserve">Net change in cash and cash equivalents</t>
  </si>
  <si>
    <t xml:space="preserve">Cash and cash equivalents, start of year</t>
  </si>
  <si>
    <t xml:space="preserve">Cash and cash equivalents, end of year</t>
  </si>
  <si>
    <t xml:space="preserve">Revolver</t>
  </si>
  <si>
    <t xml:space="preserve">Cash before revolver</t>
  </si>
  <si>
    <t xml:space="preserve">Revolver balance, year end</t>
  </si>
  <si>
    <t xml:space="preserve">Draws only if cash would fall below the minimum</t>
  </si>
  <si>
    <t xml:space="preserve">Dividends</t>
  </si>
  <si>
    <t xml:space="preserve">Dividends declared for the year</t>
  </si>
  <si>
    <t xml:space="preserve">   Paid within the year (interim and specials)</t>
  </si>
  <si>
    <t xml:space="preserve">   Final dividend paid the following year</t>
  </si>
  <si>
    <t xml:space="preserve">Dividends recognised in equity during the year</t>
  </si>
  <si>
    <t xml:space="preserve">Free cash flow (memo)</t>
  </si>
  <si>
    <t xml:space="preserve">Total capex (PPE + vessel instalments)</t>
  </si>
  <si>
    <t xml:space="preserve">Free cash flow after leases</t>
  </si>
  <si>
    <t xml:space="preserve">Operating cash flow - capex + disposals + JV dividends - lease principal</t>
  </si>
  <si>
    <t xml:space="preserve">Free cash flow per diluted share (current FX)</t>
  </si>
  <si>
    <t xml:space="preserve">Free cash flow yield on current market cap</t>
  </si>
  <si>
    <t xml:space="preserve">Cash dividends as % of free cash flow</t>
  </si>
  <si>
    <t xml:space="preserve">SITC International Holdings (1308.HK) - Balance Sheet</t>
  </si>
  <si>
    <t xml:space="preserve">Consolidated statement of financial position at 31 December. US$m.</t>
  </si>
  <si>
    <t xml:space="preserve">Non-current assets</t>
  </si>
  <si>
    <t xml:space="preserve">Property, plant and equipment</t>
  </si>
  <si>
    <t xml:space="preserve">Opening + other capex + newbuilds delivered - depreciation - NBV of disposals</t>
  </si>
  <si>
    <t xml:space="preserve">Right-of-use assets</t>
  </si>
  <si>
    <t xml:space="preserve">Advance payments for vessels</t>
  </si>
  <si>
    <t xml:space="preserve">Goodwill</t>
  </si>
  <si>
    <t xml:space="preserve">Other intangible assets</t>
  </si>
  <si>
    <t xml:space="preserve">Investments in joint ventures</t>
  </si>
  <si>
    <t xml:space="preserve">Investments in associates</t>
  </si>
  <si>
    <t xml:space="preserve">Derivative financial instruments</t>
  </si>
  <si>
    <t xml:space="preserve">Total non-current assets</t>
  </si>
  <si>
    <t xml:space="preserve">Current assets</t>
  </si>
  <si>
    <t xml:space="preserve">Bunkers</t>
  </si>
  <si>
    <t xml:space="preserve">Trade receivables</t>
  </si>
  <si>
    <t xml:space="preserve">Prepayments, deposits and other receivables</t>
  </si>
  <si>
    <t xml:space="preserve">Financial assets at FVTPL</t>
  </si>
  <si>
    <t xml:space="preserve">Time deposits over three months</t>
  </si>
  <si>
    <t xml:space="preserve">FY2021-23 split from "cash and bank balances" using cash equivalents in the cash flow statement</t>
  </si>
  <si>
    <t xml:space="preserve">Cash and cash equivalents</t>
  </si>
  <si>
    <t xml:space="preserve">Total current assets</t>
  </si>
  <si>
    <t xml:space="preserve">Total assets</t>
  </si>
  <si>
    <t xml:space="preserve">Current liabilities</t>
  </si>
  <si>
    <t xml:space="preserve">Trade payables</t>
  </si>
  <si>
    <t xml:space="preserve">Other payables and accruals</t>
  </si>
  <si>
    <t xml:space="preserve">Bank borrowings</t>
  </si>
  <si>
    <t xml:space="preserve">Lease liabilities</t>
  </si>
  <si>
    <t xml:space="preserve">Income tax payable</t>
  </si>
  <si>
    <t xml:space="preserve">Dividend payable</t>
  </si>
  <si>
    <t xml:space="preserve">Total current liabilities</t>
  </si>
  <si>
    <t xml:space="preserve">Non-current liabilities</t>
  </si>
  <si>
    <t xml:space="preserve">Bank borrowings (FY2026E on: revolver)</t>
  </si>
  <si>
    <t xml:space="preserve">Provision for reinstatement costs</t>
  </si>
  <si>
    <t xml:space="preserve">Total non-current liabilities</t>
  </si>
  <si>
    <t xml:space="preserve">Total liabilities</t>
  </si>
  <si>
    <t xml:space="preserve">Equity</t>
  </si>
  <si>
    <t xml:space="preserve">Issued capital</t>
  </si>
  <si>
    <t xml:space="preserve">Reserves</t>
  </si>
  <si>
    <t xml:space="preserve">Equity attributable to shareholders</t>
  </si>
  <si>
    <t xml:space="preserve">Opening + profit - dividends recognised + share awards - scheme share purchases</t>
  </si>
  <si>
    <t xml:space="preserve">Total equity</t>
  </si>
  <si>
    <t xml:space="preserve">Total liabilities and equity</t>
  </si>
  <si>
    <t xml:space="preserve">Balance check (assets - liabilities - equity)</t>
  </si>
  <si>
    <t xml:space="preserve">Memo</t>
  </si>
  <si>
    <t xml:space="preserve">Newbuilds delivered (transfer from advances to PPE)</t>
  </si>
  <si>
    <t xml:space="preserve">Total lease liabilities</t>
  </si>
  <si>
    <t xml:space="preserve">Cash, time deposits and FVTPL assets</t>
  </si>
  <si>
    <t xml:space="preserve">Net cash excl. leases</t>
  </si>
  <si>
    <t xml:space="preserve">Net cash incl. lease liabilities</t>
  </si>
  <si>
    <t xml:space="preserve">Return on average shareholders equity</t>
  </si>
  <si>
    <t xml:space="preserve">Book value per share (shares in issue, current FX)</t>
  </si>
  <si>
    <t xml:space="preserve">Trade working capital (bunkers + receivables + prepayments - payables)</t>
  </si>
  <si>
    <t xml:space="preserve">SITC International Holdings (1308.HK) - DCF Inputs</t>
  </si>
  <si>
    <t xml:space="preserve">Unlevered free cash flow build for the DCF tab. Leases are operating costs, so lease liabilities are not deducted in the bridge.</t>
  </si>
  <si>
    <t xml:space="preserve">Unlevered free cash flow (leases treated as operating costs)</t>
  </si>
  <si>
    <t xml:space="preserve">EBIT excl. disposal gains</t>
  </si>
  <si>
    <t xml:space="preserve">Tax rate</t>
  </si>
  <si>
    <t xml:space="preserve">NOPAT</t>
  </si>
  <si>
    <t xml:space="preserve">   Add: depreciation and amortisation</t>
  </si>
  <si>
    <t xml:space="preserve">   Less: capex incl. newbuild instalments</t>
  </si>
  <si>
    <t xml:space="preserve">   Add: disposal proceeds</t>
  </si>
  <si>
    <t xml:space="preserve">   Less: increase in working capital</t>
  </si>
  <si>
    <t xml:space="preserve">Historical: residual operating items incl. working capital</t>
  </si>
  <si>
    <t xml:space="preserve">   Less: lease principal</t>
  </si>
  <si>
    <t xml:space="preserve">   Less: lease interest</t>
  </si>
  <si>
    <t xml:space="preserve">Historical: total finance costs (mostly leases)</t>
  </si>
  <si>
    <t xml:space="preserve">Unlevered free cash flow after leases</t>
  </si>
  <si>
    <t xml:space="preserve">   UFCF margin</t>
  </si>
  <si>
    <t xml:space="preserve">   UFCF / NOPAT</t>
  </si>
  <si>
    <t xml:space="preserve">Bridge items (year end)</t>
  </si>
  <si>
    <t xml:space="preserve">Investments in JVs and associates (book)</t>
  </si>
  <si>
    <t xml:space="preserve">Non-controlling interests (book)</t>
  </si>
  <si>
    <t xml:space="preserve">JV dividends received</t>
  </si>
  <si>
    <t xml:space="preserve">Cycle reference</t>
  </si>
  <si>
    <t xml:space="preserve">Average freight rate</t>
  </si>
  <si>
    <t xml:space="preserve">Container volume</t>
  </si>
  <si>
    <t xml:space="preserve">EBIT per TEU lifted</t>
  </si>
  <si>
    <t xml:space="preserve">UFCF per TEU lifted</t>
  </si>
  <si>
    <t xml:space="preserve">SITC International Holdings (1308.HK) - DCF</t>
  </si>
  <si>
    <t xml:space="preserve">Unlevered free cash flow after lease payments, discounted at the cost of equity (net-cash company). US$m unless stated.</t>
  </si>
  <si>
    <t xml:space="preserve">Discount rate</t>
  </si>
  <si>
    <t xml:space="preserve">Risk-free rate (US 10-year Treasury yield)</t>
  </si>
  <si>
    <t xml:space="preserve">Yahoo Finance ^TNX close 23-Oct-2026: 4.99%</t>
  </si>
  <si>
    <t xml:space="preserve">Equity beta, raw (5-year)</t>
  </si>
  <si>
    <t xml:space="preserve">stockanalysis.com (S&amp;P Global MI), 24-Oct-2026</t>
  </si>
  <si>
    <t xml:space="preserve">Blume adjustment weight on raw beta</t>
  </si>
  <si>
    <t xml:space="preserve">Adjusted beta = w x raw + (1 - w) x 1.0</t>
  </si>
  <si>
    <t xml:space="preserve">Equity beta, adjusted</t>
  </si>
  <si>
    <t xml:space="preserve">Equity risk premium (incl. China/HK country premium)</t>
  </si>
  <si>
    <t xml:space="preserve">Mature-market ERP ~4.3% + ~0.7% country premium (our assumption)</t>
  </si>
  <si>
    <t xml:space="preserve">Cost of equity</t>
  </si>
  <si>
    <t xml:space="preserve">CAPM</t>
  </si>
  <si>
    <t xml:space="preserve">Pre-tax cost of debt (lease and bank rate)</t>
  </si>
  <si>
    <t xml:space="preserve">Target debt / (debt + equity)</t>
  </si>
  <si>
    <t xml:space="preserve">Net cash balance sheet; leases are inside FCF, so no lease debt in the WACC</t>
  </si>
  <si>
    <t xml:space="preserve">WACC</t>
  </si>
  <si>
    <t xml:space="preserve">Terminal growth rate</t>
  </si>
  <si>
    <t xml:space="preserve">Below intra-Asia trade growth (3-4%) to allow for cyclical pricing pressure</t>
  </si>
  <si>
    <t xml:space="preserve">Valuation base date</t>
  </si>
  <si>
    <t xml:space="preserve">31-Dec-2026</t>
  </si>
  <si>
    <t xml:space="preserve">Cash flows from FY2027E; mid-year discounting; YE2026E net cash in the bridge</t>
  </si>
  <si>
    <t xml:space="preserve">Unlevered free cash flow</t>
  </si>
  <si>
    <t xml:space="preserve">Years from base date</t>
  </si>
  <si>
    <t xml:space="preserve">EBITDA excl. disposal gains</t>
  </si>
  <si>
    <t xml:space="preserve">Disposal gains excluded; proceeds counted in capex net</t>
  </si>
  <si>
    <t xml:space="preserve">Capex net of disposal proceeds</t>
  </si>
  <si>
    <t xml:space="preserve">Change in working capital</t>
  </si>
  <si>
    <t xml:space="preserve">Lease payments (principal + interest)</t>
  </si>
  <si>
    <t xml:space="preserve">Other cash items (capex, working capital, leases)</t>
  </si>
  <si>
    <t xml:space="preserve">Ties to 'DCF Inputs' UFCF; Checks tab</t>
  </si>
  <si>
    <t xml:space="preserve">Discount factor (mid-year)</t>
  </si>
  <si>
    <t xml:space="preserve">Present value of UFCF</t>
  </si>
  <si>
    <t xml:space="preserve">Terminal value (Gordon growth on FY2030E UFCF)</t>
  </si>
  <si>
    <t xml:space="preserve">Terminal-year UFCF (FY2030E)</t>
  </si>
  <si>
    <t xml:space="preserve">FY2030E freight rate ~US$720/TEU, close to the FY2023-25 average (US$699)</t>
  </si>
  <si>
    <t xml:space="preserve">Terminal value at end-FY2030</t>
  </si>
  <si>
    <t xml:space="preserve">Discount factor (end of FY2030)</t>
  </si>
  <si>
    <t xml:space="preserve">Present value of terminal value</t>
  </si>
  <si>
    <t xml:space="preserve">Implied terminal EV / FY2030E EBITDA</t>
  </si>
  <si>
    <t xml:space="preserve">Equity bridge at 31-Dec-2026E</t>
  </si>
  <si>
    <t xml:space="preserve">Sum of PV of UFCF, FY2027E-30E</t>
  </si>
  <si>
    <t xml:space="preserve">PV of terminal value</t>
  </si>
  <si>
    <t xml:space="preserve">Enterprise value (leases treated as operating)</t>
  </si>
  <si>
    <t xml:space="preserve">Terminal value share of EV</t>
  </si>
  <si>
    <t xml:space="preserve">Add: net cash excl. leases, YE2026E</t>
  </si>
  <si>
    <t xml:space="preserve">After the HK$1.00 special dividend paid 17-Dec-2026</t>
  </si>
  <si>
    <t xml:space="preserve">Add: JVs and associates at book</t>
  </si>
  <si>
    <t xml:space="preserve">Less: non-controlling interests at book</t>
  </si>
  <si>
    <t xml:space="preserve">Equity value</t>
  </si>
  <si>
    <t xml:space="preserve">Shares in issue (diluted)</t>
  </si>
  <si>
    <t xml:space="preserve">Equity value per share</t>
  </si>
  <si>
    <t xml:space="preserve">DCF value per share</t>
  </si>
  <si>
    <t xml:space="preserve">Value at end-2026, after the December special dividend</t>
  </si>
  <si>
    <t xml:space="preserve">vs current share price</t>
  </si>
  <si>
    <t xml:space="preserve">Implied FY2027E P/E at DCF value</t>
  </si>
  <si>
    <t xml:space="preserve">Implied FY2027E EV/EBITDA at DCF value</t>
  </si>
  <si>
    <t xml:space="preserve">Reverse DCF: what the share price implies</t>
  </si>
  <si>
    <t xml:space="preserve">Share price less the Dec-2026 special dividend</t>
  </si>
  <si>
    <t xml:space="preserve">The stock trades cum the HK$1.00 special until 4-Dec-2026</t>
  </si>
  <si>
    <t xml:space="preserve">Market equity value on that basis</t>
  </si>
  <si>
    <t xml:space="preserve">Market-implied enterprise value</t>
  </si>
  <si>
    <t xml:space="preserve">Market-implied PV of terminal value</t>
  </si>
  <si>
    <t xml:space="preserve">Implied terminal-year UFCF</t>
  </si>
  <si>
    <t xml:space="preserve">Holding our FY2027E-30E cash flows, WACC and g</t>
  </si>
  <si>
    <t xml:space="preserve">Implied terminal UFCF vs our FY2030E</t>
  </si>
  <si>
    <t xml:space="preserve">Implied terminal UFCF per TEU lifted</t>
  </si>
  <si>
    <t xml:space="preserve">Model UFCF per TEU: FY2030E (memo: FY2026E in note)</t>
  </si>
  <si>
    <t xml:space="preserve">Compare with FY2026E on the DCF Inputs tab</t>
  </si>
  <si>
    <t xml:space="preserve">SITC International Holdings (1308.HK) - Sensitivity</t>
  </si>
  <si>
    <t xml:space="preserve">DCF value per share (HK$) recomputed in every cell; P/E and freight-rate grids use model EPS. Base case boxed.</t>
  </si>
  <si>
    <t xml:space="preserve">Table 1. DCF value per share (HK$): WACC vs terminal growth</t>
  </si>
  <si>
    <t xml:space="preserve">WACC \ terminal growth</t>
  </si>
  <si>
    <t xml:space="preserve">Centre cell equals the DCF tab value; rows and columns move with the DCF inputs.</t>
  </si>
  <si>
    <t xml:space="preserve">Table 2. DCF value per share (HK$): FY2025A-30E revenue CAGR vs FY2030E EBITDA margin</t>
  </si>
  <si>
    <t xml:space="preserve">Revenue CAGR \ EBITDA margin</t>
  </si>
  <si>
    <t xml:space="preserve">Varies the terminal year only: FY2027E-29E cash flows, D&amp;A, capex, working capital and leases stay at model values.</t>
  </si>
  <si>
    <t xml:space="preserve">Table 3. Value per share (HK$): target P/E vs FY2027E EPS by scenario</t>
  </si>
  <si>
    <t xml:space="preserve">Target P/E \ FY2027E EPS</t>
  </si>
  <si>
    <t xml:space="preserve">Live model</t>
  </si>
  <si>
    <t xml:space="preserve">Table 4. FY2027E freight rate vs base case: EPS and P/E at the current price (costs held)</t>
  </si>
  <si>
    <t xml:space="preserve">Rate vs base</t>
  </si>
  <si>
    <t xml:space="preserve">Rate (US$/TEU)</t>
  </si>
  <si>
    <t xml:space="preserve">Revenue chg (US$m)</t>
  </si>
  <si>
    <t xml:space="preserve">Profit chg (US$m)</t>
  </si>
  <si>
    <t xml:space="preserve">EPS (HK$)</t>
  </si>
  <si>
    <t xml:space="preserve">EPS chg</t>
  </si>
  <si>
    <t xml:space="preserve">P/E at price</t>
  </si>
  <si>
    <t xml:space="preserve">Each US$10/TEU on the FY2027E average rate moves revenue by about</t>
  </si>
  <si>
    <t xml:space="preserve">SITC International Holdings (1308.HK) - Comparable companies</t>
  </si>
  <si>
    <t xml:space="preserve">Listed container lines. Market data and LTM/forward multiples from stockanalysis.com (S&amp;P Global Market Intelligence), 24-25 Oct 2026. Forward P/E is the source's consensus-based figure; NTM EV multiples were not available from public sources.</t>
  </si>
  <si>
    <t xml:space="preserve">Company</t>
  </si>
  <si>
    <t xml:space="preserve">Ticker</t>
  </si>
  <si>
    <t xml:space="preserve">Group</t>
  </si>
  <si>
    <t xml:space="preserve">Ccy</t>
  </si>
  <si>
    <t xml:space="preserve">Local per US$</t>
  </si>
  <si>
    <t xml:space="preserve">Mkt cap (local bn)</t>
  </si>
  <si>
    <t xml:space="preserve">EV (local bn)</t>
  </si>
  <si>
    <t xml:space="preserve">Mkt cap (US$bn)</t>
  </si>
  <si>
    <t xml:space="preserve">EV (US$bn)</t>
  </si>
  <si>
    <t xml:space="preserve">EV/Sales LTM</t>
  </si>
  <si>
    <t xml:space="preserve">EV/EBITDA LTM</t>
  </si>
  <si>
    <t xml:space="preserve">P/E LTM</t>
  </si>
  <si>
    <t xml:space="preserve">P/E fwd</t>
  </si>
  <si>
    <t xml:space="preserve">P/B</t>
  </si>
  <si>
    <t xml:space="preserve">Div. yield</t>
  </si>
  <si>
    <t xml:space="preserve">ROE</t>
  </si>
  <si>
    <t xml:space="preserve">EBITDA margin</t>
  </si>
  <si>
    <t xml:space="preserve">Rev. growth fcst 3Y</t>
  </si>
  <si>
    <t xml:space="preserve">EPS growth fcst 3Y</t>
  </si>
  <si>
    <t xml:space="preserve">COSCO Shipping Holdings</t>
  </si>
  <si>
    <t xml:space="preserve">1919.HK</t>
  </si>
  <si>
    <t xml:space="preserve">Asia</t>
  </si>
  <si>
    <t xml:space="preserve">HKD</t>
  </si>
  <si>
    <t xml:space="preserve">Orient Overseas (OOIL)</t>
  </si>
  <si>
    <t xml:space="preserve">0316.HK</t>
  </si>
  <si>
    <t xml:space="preserve">Evergreen Marine</t>
  </si>
  <si>
    <t xml:space="preserve">2603.TW</t>
  </si>
  <si>
    <t xml:space="preserve">TWD</t>
  </si>
  <si>
    <t xml:space="preserve">Yang Ming Marine</t>
  </si>
  <si>
    <t xml:space="preserve">2609.TW</t>
  </si>
  <si>
    <t xml:space="preserve">Wan Hai Lines</t>
  </si>
  <si>
    <t xml:space="preserve">2615.TW</t>
  </si>
  <si>
    <t xml:space="preserve">HMM</t>
  </si>
  <si>
    <t xml:space="preserve">011200.KS</t>
  </si>
  <si>
    <t xml:space="preserve">KRW</t>
  </si>
  <si>
    <t xml:space="preserve">T.S. Lines</t>
  </si>
  <si>
    <t xml:space="preserve">2510.HK</t>
  </si>
  <si>
    <t xml:space="preserve">Regional Container Lines</t>
  </si>
  <si>
    <t xml:space="preserve">RCL.BK</t>
  </si>
  <si>
    <t xml:space="preserve">THB</t>
  </si>
  <si>
    <t xml:space="preserve">n/a</t>
  </si>
  <si>
    <t xml:space="preserve">A.P. Moller-Maersk</t>
  </si>
  <si>
    <t xml:space="preserve">MAERSK-B.CO</t>
  </si>
  <si>
    <t xml:space="preserve">Global</t>
  </si>
  <si>
    <t xml:space="preserve">DKK</t>
  </si>
  <si>
    <t xml:space="preserve">Hapag-Lloyd</t>
  </si>
  <si>
    <t xml:space="preserve">HLAG.DE</t>
  </si>
  <si>
    <t xml:space="preserve">EUR</t>
  </si>
  <si>
    <t xml:space="preserve">ZIM Integrated Shipping</t>
  </si>
  <si>
    <t xml:space="preserve">ZIM</t>
  </si>
  <si>
    <t xml:space="preserve">USD</t>
  </si>
  <si>
    <t xml:space="preserve">Matson</t>
  </si>
  <si>
    <t xml:space="preserve">MATX</t>
  </si>
  <si>
    <t xml:space="preserve">Statistical summary (12 peers)</t>
  </si>
  <si>
    <t xml:space="preserve">Maximum</t>
  </si>
  <si>
    <t xml:space="preserve">75th percentile</t>
  </si>
  <si>
    <t xml:space="preserve">Median</t>
  </si>
  <si>
    <t xml:space="preserve">25th percentile</t>
  </si>
  <si>
    <t xml:space="preserve">Minimum</t>
  </si>
  <si>
    <t xml:space="preserve">SITC International (1308.HK)</t>
  </si>
  <si>
    <t xml:space="preserve">SITC International (market data)</t>
  </si>
  <si>
    <t xml:space="preserve">1308.HK</t>
  </si>
  <si>
    <t xml:space="preserve">Target</t>
  </si>
  <si>
    <t xml:space="preserve">SITC, our FY2026E at current price</t>
  </si>
  <si>
    <t xml:space="preserve">Our est.</t>
  </si>
  <si>
    <t xml:space="preserve">EV = market cap - YE net cash - JVs + NCI; the P/E fwd column shows that year's P/E</t>
  </si>
  <si>
    <t xml:space="preserve">SITC, our FY2027E at current price</t>
  </si>
  <si>
    <t xml:space="preserve">Applying peer multiples to SITC (HK$ per share)</t>
  </si>
  <si>
    <t xml:space="preserve">Peer stat</t>
  </si>
  <si>
    <t xml:space="preserve">Multiple</t>
  </si>
  <si>
    <t xml:space="preserve">SITC metric</t>
  </si>
  <si>
    <t xml:space="preserve">Metric value</t>
  </si>
  <si>
    <t xml:space="preserve">Value / share</t>
  </si>
  <si>
    <t xml:space="preserve">vs price</t>
  </si>
  <si>
    <t xml:space="preserve">P/E on FY2027E EPS</t>
  </si>
  <si>
    <t xml:space="preserve">Median fwd P/E</t>
  </si>
  <si>
    <t xml:space="preserve">FY2027E EPS (HK$)</t>
  </si>
  <si>
    <t xml:space="preserve">75th pct fwd P/E</t>
  </si>
  <si>
    <t xml:space="preserve">EV/EBITDA on FY2026E</t>
  </si>
  <si>
    <t xml:space="preserve">Median LTM EV/EBITDA</t>
  </si>
  <si>
    <t xml:space="preserve">FY2026E EBITDA (US$m)</t>
  </si>
  <si>
    <t xml:space="preserve">P/B on YE2026E book</t>
  </si>
  <si>
    <t xml:space="preserve">Median P/B</t>
  </si>
  <si>
    <t xml:space="preserve">BVPS YE2026E (HK$)</t>
  </si>
  <si>
    <t xml:space="preserve">P/B scaled by ROE</t>
  </si>
  <si>
    <t xml:space="preserve">Median P/B x (SITC ROE / median ROE)</t>
  </si>
  <si>
    <t xml:space="preserve">SITC International Holdings (1308.HK) - Valuation summary</t>
  </si>
  <si>
    <t xml:space="preserve">Price target, rating and cross-checks. HK$ per share unless stated.</t>
  </si>
  <si>
    <t xml:space="preserve">Valuation methods</t>
  </si>
  <si>
    <t xml:space="preserve">Low</t>
  </si>
  <si>
    <t xml:space="preserve">High</t>
  </si>
  <si>
    <t xml:space="preserve">Weight</t>
  </si>
  <si>
    <t xml:space="preserve">Weighted</t>
  </si>
  <si>
    <t xml:space="preserve">Base vs price</t>
  </si>
  <si>
    <t xml:space="preserve">DCF (FCF after leases; WACC +/-1pp, g -/+0.5pp)</t>
  </si>
  <si>
    <t xml:space="preserve">Primary: captures the newbuild capex cycle and the fall in freight rates to mid-cycle</t>
  </si>
  <si>
    <t xml:space="preserve">P/E on FY2027E EPS (peer median / 75th pct / 13x)</t>
  </si>
  <si>
    <t xml:space="preserve">Top-quartile peer multiple for the highest ROE and payout in the group; high end = SITC trailing P/E ~13x</t>
  </si>
  <si>
    <t xml:space="preserve">Blended value</t>
  </si>
  <si>
    <t xml:space="preserve">Cross-checks (not weighted)</t>
  </si>
  <si>
    <t xml:space="preserve">Dividend discount (cost of equity +/-1pp)</t>
  </si>
  <si>
    <t xml:space="preserve">FY2026 final + FY2027E-30E DPS + Gordon terminal; DPS discounted one year after the fiscal year on average</t>
  </si>
  <si>
    <t xml:space="preserve">Justified P/B = (ROE - g) / (ke - g), FY2027E ROE</t>
  </si>
  <si>
    <t xml:space="preserve">Gordon-consistent P/B on YE2026E book value</t>
  </si>
  <si>
    <t xml:space="preserve">EV/EBITDA, peer median LTM on FY2026E EBITDA</t>
  </si>
  <si>
    <t xml:space="preserve">Peers carry lower margins and returns; shown for reference</t>
  </si>
  <si>
    <t xml:space="preserve">DCF by scenario: bear / base / bull</t>
  </si>
  <si>
    <t xml:space="preserve">Stored full-model runs (Scenarios tab)</t>
  </si>
  <si>
    <t xml:space="preserve">52-week trading range</t>
  </si>
  <si>
    <t xml:space="preserve">Yahoo Finance</t>
  </si>
  <si>
    <t xml:space="preserve">Consensus price target (9 analysts; consensus rating Buy)</t>
  </si>
  <si>
    <t xml:space="preserve">stockanalysis.com (S&amp;P Global MI), 24-Oct-2026; not our estimate</t>
  </si>
  <si>
    <t xml:space="preserve">Price target and rating</t>
  </si>
  <si>
    <t xml:space="preserve">Blended value (HK$)</t>
  </si>
  <si>
    <t xml:space="preserve">12-month price target (rounded to HK$0.50)</t>
  </si>
  <si>
    <t xml:space="preserve">Share price, 23-Oct-2026 close (HK$)</t>
  </si>
  <si>
    <t xml:space="preserve">Price upside / (downside) to target</t>
  </si>
  <si>
    <t xml:space="preserve">Dividends expected in the next 12 months (HK$)</t>
  </si>
  <si>
    <t xml:space="preserve">Dec-2026 special HK$1.00 + FY2026E final (mid-2027) + FY2027E in-year dividends</t>
  </si>
  <si>
    <t xml:space="preserve">BUY threshold (expected total return)</t>
  </si>
  <si>
    <t xml:space="preserve">House framework: BUY above +15%, SELL below -10%, otherwise HOLD</t>
  </si>
  <si>
    <t xml:space="preserve">SELL threshold (expected total return)</t>
  </si>
  <si>
    <t xml:space="preserve">What the target implies</t>
  </si>
  <si>
    <t xml:space="preserve">P/E FY2026E at target</t>
  </si>
  <si>
    <t xml:space="preserve">P/E FY2027E at target</t>
  </si>
  <si>
    <t xml:space="preserve">EV/EBITDA FY2027E at target</t>
  </si>
  <si>
    <t xml:space="preserve">P/B on YE2026E book at target</t>
  </si>
  <si>
    <t xml:space="preserve">FY2027E dividend yield at target</t>
  </si>
  <si>
    <t xml:space="preserve">EPS the current price implies at the base-case P/E (HK$)</t>
  </si>
  <si>
    <t xml:space="preserve">Compare with our FY2027E-28E EPS on the Income Statement</t>
  </si>
  <si>
    <t xml:space="preserve">Scenario values (stored full-model runs) and probability weighting</t>
  </si>
  <si>
    <t xml:space="preserve">Scenario</t>
  </si>
  <si>
    <t xml:space="preserve">Probability</t>
  </si>
  <si>
    <t xml:space="preserve">Rate FY28E</t>
  </si>
  <si>
    <t xml:space="preserve">EPS FY27E</t>
  </si>
  <si>
    <t xml:space="preserve">DCF value</t>
  </si>
  <si>
    <t xml:space="preserve">Definition</t>
  </si>
  <si>
    <t xml:space="preserve">FY2027E rate falls by more than 15%</t>
  </si>
  <si>
    <t xml:space="preserve">FY2027E rate falls by 5-15%</t>
  </si>
  <si>
    <t xml:space="preserve">FY2027E rate falls by less than 5%</t>
  </si>
  <si>
    <t xml:space="preserve">Probability-weighted DCF value</t>
  </si>
  <si>
    <t xml:space="preserve">Buckets are exclusive and cover all FY2027E rate outcomes; weights must sum to 100%</t>
  </si>
  <si>
    <t xml:space="preserve">SITC International Holdings (1308.HK) - Checks</t>
  </si>
  <si>
    <t xml:space="preserve">TRUE = pass. AllChecksPass (C47) must be TRUE.</t>
  </si>
  <si>
    <t xml:space="preserve">Check</t>
  </si>
  <si>
    <t xml:space="preserve">Balance sheet and cash</t>
  </si>
  <si>
    <t xml:space="preserve">Balance sheet balances</t>
  </si>
  <si>
    <t xml:space="preserve">Cash flow closing cash = balance sheet cash</t>
  </si>
  <si>
    <t xml:space="preserve">Geographic revenue sums to total revenue</t>
  </si>
  <si>
    <t xml:space="preserve">Vessel advances not negative</t>
  </si>
  <si>
    <t xml:space="preserve">Cash at or above minimum</t>
  </si>
  <si>
    <t xml:space="preserve">Revolver not negative</t>
  </si>
  <si>
    <t xml:space="preserve">Historical tie-out to reported figures (US$m)</t>
  </si>
  <si>
    <t xml:space="preserve">Total non-current assets, reported</t>
  </si>
  <si>
    <t xml:space="preserve">Total non-current assets ties</t>
  </si>
  <si>
    <t xml:space="preserve">Total current assets, reported</t>
  </si>
  <si>
    <t xml:space="preserve">Total current assets ties</t>
  </si>
  <si>
    <t xml:space="preserve">Total current liabilities, reported</t>
  </si>
  <si>
    <t xml:space="preserve">Total current liabilities ties</t>
  </si>
  <si>
    <t xml:space="preserve">Total non-current liabilities, reported</t>
  </si>
  <si>
    <t xml:space="preserve">Total non-current liabilities ties</t>
  </si>
  <si>
    <t xml:space="preserve">Total equity, reported</t>
  </si>
  <si>
    <t xml:space="preserve">Total equity ties</t>
  </si>
  <si>
    <t xml:space="preserve">Revenue, reported</t>
  </si>
  <si>
    <t xml:space="preserve">Revenue ties</t>
  </si>
  <si>
    <t xml:space="preserve">Cost of sales, reported</t>
  </si>
  <si>
    <t xml:space="preserve">Cost of sales ties</t>
  </si>
  <si>
    <t xml:space="preserve">Segment results, reported</t>
  </si>
  <si>
    <t xml:space="preserve">Segment results ties</t>
  </si>
  <si>
    <t xml:space="preserve">Profit before tax, reported</t>
  </si>
  <si>
    <t xml:space="preserve">Profit before tax ties</t>
  </si>
  <si>
    <t xml:space="preserve">Profit attributable to shareholders, reported</t>
  </si>
  <si>
    <t xml:space="preserve">Profit attributable to shareholders ties</t>
  </si>
  <si>
    <t xml:space="preserve">Operating cash flow, reported</t>
  </si>
  <si>
    <t xml:space="preserve">Operating cash flow ties</t>
  </si>
  <si>
    <t xml:space="preserve">Investing cash flow, reported</t>
  </si>
  <si>
    <t xml:space="preserve">Investing cash flow ties</t>
  </si>
  <si>
    <t xml:space="preserve">Financing cash flow, reported</t>
  </si>
  <si>
    <t xml:space="preserve">Financing cash flow ties</t>
  </si>
  <si>
    <t xml:space="preserve">Diluted EPS, reported (US$, 2 dp)</t>
  </si>
  <si>
    <t xml:space="preserve">Diluted EPS ties at 2 dp</t>
  </si>
  <si>
    <t xml:space="preserve">Scenario outputs: live = stored for active scenario</t>
  </si>
  <si>
    <t xml:space="preserve">DCF tab UFCF = DCF Inputs UFCF (FY2027E-30E)</t>
  </si>
  <si>
    <t xml:space="preserve">Sensitivity table 1 centre = DCF value per share</t>
  </si>
  <si>
    <t xml:space="preserve">Sensitivity table 2 centre = DCF value per share</t>
  </si>
  <si>
    <t xml:space="preserve">ALL CHECKS PASS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</si>
</sst>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0.00;\(0.00\);\-"/>
    <numFmt numFmtId="166" formatCode="#,##0;\(#,##0\);\-"/>
    <numFmt numFmtId="167" formatCode="0.0\x;\(0.0&quot;x)&quot;;\-"/>
    <numFmt numFmtId="168" formatCode="0.0%;\(0.0%\);\-"/>
    <numFmt numFmtId="169" formatCode="#,##0.0;\(#,##0.0\);\-"/>
    <numFmt numFmtId="170" formatCode="General"/>
    <numFmt numFmtId="171" formatCode="0.000;\(0.000\);\-"/>
    <numFmt numFmtId="172" formatCode="dd\-mmm\-yyyy"/>
    <numFmt numFmtId="173" formatCode="0"/>
    <numFmt numFmtId="174" formatCode="0.00%;\(0.00%\);\-"/>
    <numFmt numFmtId="175" formatCode="0.00\x;\(0.00&quot;x)&quot;;\-"/>
    <numFmt numFmtId="176" formatCode="0.0;\(0.0\);\-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B3D6B"/>
      <name val="Arial"/>
      <family val="0"/>
      <charset val="1"/>
    </font>
    <font>
      <i val="true"/>
      <sz val="11"/>
      <color rgb="FF808080"/>
      <name val="Arial"/>
      <family val="0"/>
      <charset val="1"/>
    </font>
    <font>
      <b val="true"/>
      <sz val="9"/>
      <color rgb="FF0B3D6B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00800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0000FF"/>
      <name val="Arial"/>
      <family val="0"/>
      <charset val="1"/>
    </font>
    <font>
      <b val="true"/>
      <sz val="12"/>
      <color rgb="FF0B3D6B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0000FF"/>
      <name val="Arial"/>
      <family val="0"/>
      <charset val="1"/>
    </font>
    <font>
      <i val="true"/>
      <sz val="9"/>
      <color rgb="FF000000"/>
      <name val="Arial"/>
      <family val="0"/>
      <charset val="1"/>
    </font>
    <font>
      <i val="true"/>
      <sz val="9"/>
      <color rgb="FF0000FF"/>
      <name val="Arial"/>
      <family val="0"/>
      <charset val="1"/>
    </font>
    <font>
      <i val="true"/>
      <sz val="9"/>
      <color rgb="FF008000"/>
      <name val="Arial"/>
      <family val="0"/>
      <charset val="1"/>
    </font>
    <font>
      <b val="true"/>
      <sz val="9"/>
      <name val="Arial"/>
      <family val="0"/>
      <charset val="1"/>
    </font>
    <font>
      <sz val="9"/>
      <color rgb="FF808080"/>
      <name val="Arial"/>
      <family val="0"/>
      <charset val="1"/>
    </font>
    <font>
      <b val="true"/>
      <sz val="9"/>
      <color rgb="FF008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3F6FA"/>
        <bgColor rgb="FFFFFFFF"/>
      </patternFill>
    </fill>
    <fill>
      <patternFill patternType="solid">
        <fgColor rgb="FF0B3D6B"/>
        <bgColor rgb="FF333399"/>
      </patternFill>
    </fill>
    <fill>
      <patternFill patternType="solid">
        <fgColor rgb="FFDCE6F1"/>
        <bgColor rgb="FFF3F6FA"/>
      </patternFill>
    </fill>
    <fill>
      <patternFill patternType="solid">
        <fgColor rgb="FFFFF2CC"/>
        <bgColor rgb="FFF3F6FA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 style="thin">
        <color rgb="FF7F7F7F"/>
      </top>
      <bottom/>
      <diagonal/>
    </border>
    <border diagonalUp="false" diagonalDown="false"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3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3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6FA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7F7F7F"/>
      <rgbColor rgb="FF0B3D6B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3D6B"/>
    <pageSetUpPr fitToPage="true"/>
  </sheetPr>
  <dimension ref="B2:D4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3" min="3" style="0" width="16"/>
    <col collapsed="false" customWidth="true" hidden="false" outlineLevel="0" max="4" min="4" style="0" width="90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</row>
    <row r="6" customFormat="false" ht="15" hidden="false" customHeight="false" outlineLevel="0" collapsed="false">
      <c r="B6" s="4" t="s">
        <v>3</v>
      </c>
      <c r="C6" s="5" t="str">
        <f aca="false">Scenarios!D3</f>
        <v>Base</v>
      </c>
    </row>
    <row r="7" customFormat="false" ht="15" hidden="false" customHeight="false" outlineLevel="0" collapsed="false">
      <c r="B7" s="4" t="s">
        <v>4</v>
      </c>
      <c r="C7" s="6" t="n">
        <f aca="false">Inputs!C6</f>
        <v>47.68</v>
      </c>
    </row>
    <row r="8" customFormat="false" ht="15" hidden="false" customHeight="false" outlineLevel="0" collapsed="false">
      <c r="B8" s="4" t="s">
        <v>5</v>
      </c>
      <c r="C8" s="7" t="n">
        <f aca="false">Inputs!C16</f>
        <v>16487.784697619</v>
      </c>
    </row>
    <row r="9" customFormat="false" ht="15" hidden="false" customHeight="false" outlineLevel="0" collapsed="false">
      <c r="B9" s="4" t="s">
        <v>6</v>
      </c>
      <c r="C9" s="6" t="n">
        <f aca="false">'Income Statement'!H59</f>
        <v>4.26661650670963</v>
      </c>
    </row>
    <row r="10" customFormat="false" ht="15" hidden="false" customHeight="false" outlineLevel="0" collapsed="false">
      <c r="B10" s="4" t="s">
        <v>7</v>
      </c>
      <c r="C10" s="6" t="n">
        <f aca="false">'Income Statement'!I59</f>
        <v>3.4208878276734</v>
      </c>
    </row>
    <row r="11" customFormat="false" ht="15" hidden="false" customHeight="false" outlineLevel="0" collapsed="false">
      <c r="B11" s="4" t="s">
        <v>8</v>
      </c>
      <c r="C11" s="8" t="n">
        <f aca="false">Inputs!C6/'Income Statement'!H59</f>
        <v>11.1751313775257</v>
      </c>
    </row>
    <row r="12" customFormat="false" ht="15" hidden="false" customHeight="false" outlineLevel="0" collapsed="false">
      <c r="B12" s="4" t="s">
        <v>9</v>
      </c>
      <c r="C12" s="8" t="n">
        <f aca="false">Inputs!C6/'Income Statement'!I59</f>
        <v>13.9379022060563</v>
      </c>
    </row>
    <row r="13" customFormat="false" ht="15" hidden="false" customHeight="false" outlineLevel="0" collapsed="false">
      <c r="B13" s="4" t="s">
        <v>10</v>
      </c>
      <c r="C13" s="6" t="n">
        <f aca="false">'Income Statement'!H60</f>
        <v>3.6192301107723</v>
      </c>
    </row>
    <row r="14" customFormat="false" ht="15" hidden="false" customHeight="false" outlineLevel="0" collapsed="false">
      <c r="B14" s="4" t="s">
        <v>11</v>
      </c>
      <c r="C14" s="9" t="n">
        <f aca="false">'Income Statement'!H60/Inputs!C6</f>
        <v>0.0759066717863318</v>
      </c>
    </row>
    <row r="15" customFormat="false" ht="15" hidden="false" customHeight="false" outlineLevel="0" collapsed="false">
      <c r="B15" s="4" t="s">
        <v>12</v>
      </c>
      <c r="C15" s="10" t="n">
        <f aca="false">'Balance Sheet'!H53</f>
        <v>917.244807105761</v>
      </c>
    </row>
    <row r="16" customFormat="false" ht="15" hidden="false" customHeight="false" outlineLevel="0" collapsed="false">
      <c r="B16" s="4" t="s">
        <v>13</v>
      </c>
      <c r="C16" s="6" t="n">
        <f aca="false">DCF!C53</f>
        <v>36.2218024309965</v>
      </c>
    </row>
    <row r="17" customFormat="false" ht="15" hidden="false" customHeight="false" outlineLevel="0" collapsed="false">
      <c r="B17" s="4" t="s">
        <v>14</v>
      </c>
      <c r="C17" s="6" t="n">
        <f aca="false">'Valuation Summary'!C20</f>
        <v>36.5</v>
      </c>
    </row>
    <row r="18" customFormat="false" ht="15" hidden="false" customHeight="false" outlineLevel="0" collapsed="false">
      <c r="B18" s="4" t="s">
        <v>15</v>
      </c>
      <c r="C18" s="11" t="n">
        <f aca="false">'Valuation Summary'!C24</f>
        <v>-0.158435552595491</v>
      </c>
    </row>
    <row r="19" customFormat="false" ht="15" hidden="false" customHeight="false" outlineLevel="0" collapsed="false">
      <c r="B19" s="4" t="s">
        <v>16</v>
      </c>
      <c r="C19" s="5" t="str">
        <f aca="false">'Valuation Summary'!C25</f>
        <v>SELL</v>
      </c>
    </row>
    <row r="20" customFormat="false" ht="15" hidden="false" customHeight="false" outlineLevel="0" collapsed="false">
      <c r="B20" s="4" t="s">
        <v>17</v>
      </c>
      <c r="C20" s="12" t="b">
        <f aca="false">Checks!C47</f>
        <v>1</v>
      </c>
    </row>
    <row r="22" customFormat="false" ht="15" hidden="false" customHeight="false" outlineLevel="0" collapsed="false">
      <c r="B22" s="3" t="s">
        <v>18</v>
      </c>
    </row>
    <row r="23" customFormat="false" ht="15" hidden="false" customHeight="false" outlineLevel="0" collapsed="false">
      <c r="B23" s="13" t="s">
        <v>19</v>
      </c>
      <c r="D23" s="4" t="s">
        <v>20</v>
      </c>
    </row>
    <row r="24" customFormat="false" ht="15" hidden="false" customHeight="false" outlineLevel="0" collapsed="false">
      <c r="B24" s="13" t="s">
        <v>21</v>
      </c>
      <c r="D24" s="4" t="s">
        <v>22</v>
      </c>
    </row>
    <row r="25" customFormat="false" ht="15" hidden="false" customHeight="false" outlineLevel="0" collapsed="false">
      <c r="B25" s="13" t="s">
        <v>23</v>
      </c>
      <c r="D25" s="4" t="s">
        <v>24</v>
      </c>
    </row>
    <row r="26" customFormat="false" ht="15" hidden="false" customHeight="false" outlineLevel="0" collapsed="false">
      <c r="B26" s="13" t="s">
        <v>25</v>
      </c>
      <c r="D26" s="4" t="s">
        <v>26</v>
      </c>
    </row>
    <row r="27" customFormat="false" ht="15" hidden="false" customHeight="false" outlineLevel="0" collapsed="false">
      <c r="B27" s="13" t="s">
        <v>27</v>
      </c>
      <c r="D27" s="4" t="s">
        <v>28</v>
      </c>
    </row>
    <row r="28" customFormat="false" ht="15" hidden="false" customHeight="false" outlineLevel="0" collapsed="false">
      <c r="B28" s="13" t="s">
        <v>29</v>
      </c>
      <c r="D28" s="4" t="s">
        <v>30</v>
      </c>
    </row>
    <row r="29" customFormat="false" ht="15" hidden="false" customHeight="false" outlineLevel="0" collapsed="false">
      <c r="B29" s="13" t="s">
        <v>31</v>
      </c>
      <c r="D29" s="4" t="s">
        <v>32</v>
      </c>
    </row>
    <row r="30" customFormat="false" ht="15" hidden="false" customHeight="false" outlineLevel="0" collapsed="false">
      <c r="B30" s="13" t="s">
        <v>33</v>
      </c>
      <c r="D30" s="4" t="s">
        <v>34</v>
      </c>
    </row>
    <row r="31" customFormat="false" ht="15" hidden="false" customHeight="false" outlineLevel="0" collapsed="false">
      <c r="B31" s="13" t="s">
        <v>35</v>
      </c>
      <c r="D31" s="4" t="s">
        <v>36</v>
      </c>
    </row>
    <row r="32" customFormat="false" ht="15" hidden="false" customHeight="false" outlineLevel="0" collapsed="false">
      <c r="B32" s="13" t="s">
        <v>37</v>
      </c>
      <c r="D32" s="4" t="s">
        <v>38</v>
      </c>
    </row>
    <row r="33" customFormat="false" ht="15" hidden="false" customHeight="false" outlineLevel="0" collapsed="false">
      <c r="B33" s="13" t="s">
        <v>39</v>
      </c>
      <c r="D33" s="4" t="s">
        <v>40</v>
      </c>
    </row>
    <row r="34" customFormat="false" ht="15" hidden="false" customHeight="false" outlineLevel="0" collapsed="false">
      <c r="B34" s="13" t="s">
        <v>41</v>
      </c>
      <c r="D34" s="4" t="s">
        <v>42</v>
      </c>
    </row>
    <row r="35" customFormat="false" ht="15" hidden="false" customHeight="false" outlineLevel="0" collapsed="false">
      <c r="B35" s="13" t="s">
        <v>43</v>
      </c>
      <c r="D35" s="4" t="s">
        <v>44</v>
      </c>
    </row>
    <row r="38" customFormat="false" ht="15" hidden="false" customHeight="false" outlineLevel="0" collapsed="false">
      <c r="B38" s="3" t="s">
        <v>45</v>
      </c>
    </row>
    <row r="39" customFormat="false" ht="15" hidden="false" customHeight="false" outlineLevel="0" collapsed="false">
      <c r="B39" s="14" t="s">
        <v>46</v>
      </c>
      <c r="D39" s="4" t="s">
        <v>47</v>
      </c>
    </row>
    <row r="40" customFormat="false" ht="15" hidden="false" customHeight="false" outlineLevel="0" collapsed="false">
      <c r="B40" s="4" t="s">
        <v>48</v>
      </c>
      <c r="D40" s="4" t="s">
        <v>49</v>
      </c>
    </row>
    <row r="41" customFormat="false" ht="15" hidden="false" customHeight="false" outlineLevel="0" collapsed="false">
      <c r="B41" s="5" t="s">
        <v>50</v>
      </c>
      <c r="D41" s="4" t="s">
        <v>51</v>
      </c>
    </row>
    <row r="42" customFormat="false" ht="15" hidden="false" customHeight="false" outlineLevel="0" collapsed="false">
      <c r="B42" s="15" t="s">
        <v>52</v>
      </c>
      <c r="D42" s="4" t="s">
        <v>53</v>
      </c>
    </row>
    <row r="44" customFormat="false" ht="15" hidden="false" customHeight="false" outlineLevel="0" collapsed="false">
      <c r="B44" s="3" t="s">
        <v>54</v>
      </c>
    </row>
    <row r="45" customFormat="false" ht="15" hidden="false" customHeight="false" outlineLevel="0" collapsed="false">
      <c r="B45" s="4" t="s">
        <v>55</v>
      </c>
    </row>
    <row r="46" customFormat="false" ht="15" hidden="false" customHeight="false" outlineLevel="0" collapsed="false">
      <c r="B46" s="4" t="s">
        <v>56</v>
      </c>
    </row>
    <row r="47" customFormat="false" ht="15" hidden="false" customHeight="false" outlineLevel="0" collapsed="false">
      <c r="B47" s="4" t="s">
        <v>57</v>
      </c>
    </row>
    <row r="48" customFormat="false" ht="15" hidden="false" customHeight="false" outlineLevel="0" collapsed="false">
      <c r="B48" s="4" t="s">
        <v>58</v>
      </c>
    </row>
    <row r="49" customFormat="false" ht="15" hidden="false" customHeight="false" outlineLevel="0" collapsed="false">
      <c r="B49" s="4" t="s">
        <v>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3D6B"/>
    <pageSetUpPr fitToPage="true"/>
  </sheetPr>
  <dimension ref="A1:D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1"/>
    <col collapsed="false" customWidth="true" hidden="false" outlineLevel="0" max="3" min="3" style="0" width="14"/>
    <col collapsed="false" customWidth="true" hidden="false" outlineLevel="0" max="4" min="4" style="0" width="95"/>
  </cols>
  <sheetData>
    <row r="1" customFormat="false" ht="15" hidden="false" customHeight="false" outlineLevel="0" collapsed="false">
      <c r="A1" s="16" t="s">
        <v>60</v>
      </c>
    </row>
    <row r="2" customFormat="false" ht="15" hidden="false" customHeight="false" outlineLevel="0" collapsed="false">
      <c r="A2" s="17" t="s">
        <v>61</v>
      </c>
    </row>
    <row r="4" customFormat="false" ht="15" hidden="false" customHeight="false" outlineLevel="0" collapsed="false">
      <c r="A4" s="18" t="s">
        <v>62</v>
      </c>
      <c r="B4" s="18" t="s">
        <v>63</v>
      </c>
      <c r="C4" s="18" t="s">
        <v>64</v>
      </c>
      <c r="D4" s="18" t="s">
        <v>65</v>
      </c>
    </row>
    <row r="5" customFormat="false" ht="15" hidden="false" customHeight="false" outlineLevel="0" collapsed="false">
      <c r="A5" s="19" t="s">
        <v>66</v>
      </c>
      <c r="B5" s="20"/>
      <c r="C5" s="20"/>
      <c r="D5" s="20"/>
    </row>
    <row r="6" customFormat="false" ht="15" hidden="false" customHeight="false" outlineLevel="0" collapsed="false">
      <c r="A6" s="4" t="s">
        <v>67</v>
      </c>
      <c r="B6" s="17" t="s">
        <v>68</v>
      </c>
      <c r="C6" s="21" t="n">
        <v>47.68</v>
      </c>
      <c r="D6" s="17" t="s">
        <v>69</v>
      </c>
    </row>
    <row r="7" customFormat="false" ht="15" hidden="false" customHeight="false" outlineLevel="0" collapsed="false">
      <c r="A7" s="4" t="s">
        <v>70</v>
      </c>
      <c r="B7" s="17" t="s">
        <v>71</v>
      </c>
      <c r="C7" s="22" t="n">
        <v>7.8413</v>
      </c>
      <c r="D7" s="17" t="s">
        <v>72</v>
      </c>
    </row>
    <row r="8" customFormat="false" ht="15" hidden="false" customHeight="false" outlineLevel="0" collapsed="false">
      <c r="A8" s="4" t="s">
        <v>73</v>
      </c>
      <c r="B8" s="17" t="s">
        <v>68</v>
      </c>
      <c r="C8" s="21" t="n">
        <v>52</v>
      </c>
      <c r="D8" s="17" t="s">
        <v>74</v>
      </c>
    </row>
    <row r="9" customFormat="false" ht="15" hidden="false" customHeight="false" outlineLevel="0" collapsed="false">
      <c r="A9" s="4" t="s">
        <v>75</v>
      </c>
      <c r="B9" s="17" t="s">
        <v>68</v>
      </c>
      <c r="C9" s="21" t="n">
        <v>26.22</v>
      </c>
      <c r="D9" s="17" t="s">
        <v>74</v>
      </c>
    </row>
    <row r="10" customFormat="false" ht="15" hidden="false" customHeight="false" outlineLevel="0" collapsed="false">
      <c r="A10" s="4" t="s">
        <v>76</v>
      </c>
      <c r="B10" s="17" t="s">
        <v>77</v>
      </c>
      <c r="C10" s="23" t="n">
        <v>46320</v>
      </c>
      <c r="D10" s="17" t="s">
        <v>78</v>
      </c>
    </row>
    <row r="11" customFormat="false" ht="15" hidden="false" customHeight="false" outlineLevel="0" collapsed="false">
      <c r="A11" s="19" t="s">
        <v>79</v>
      </c>
      <c r="B11" s="20"/>
      <c r="C11" s="20"/>
      <c r="D11" s="20"/>
    </row>
    <row r="12" customFormat="false" ht="15" hidden="false" customHeight="false" outlineLevel="0" collapsed="false">
      <c r="A12" s="4" t="s">
        <v>80</v>
      </c>
      <c r="B12" s="17" t="s">
        <v>81</v>
      </c>
      <c r="C12" s="24" t="n">
        <v>2711.528233</v>
      </c>
      <c r="D12" s="17" t="s">
        <v>82</v>
      </c>
    </row>
    <row r="13" customFormat="false" ht="15" hidden="false" customHeight="false" outlineLevel="0" collapsed="false">
      <c r="A13" s="4" t="s">
        <v>83</v>
      </c>
      <c r="B13" s="17" t="s">
        <v>81</v>
      </c>
      <c r="C13" s="24" t="n">
        <v>0</v>
      </c>
      <c r="D13" s="17" t="s">
        <v>84</v>
      </c>
    </row>
    <row r="14" customFormat="false" ht="15" hidden="false" customHeight="false" outlineLevel="0" collapsed="false">
      <c r="A14" s="4" t="s">
        <v>85</v>
      </c>
      <c r="B14" s="17" t="s">
        <v>81</v>
      </c>
      <c r="C14" s="25" t="n">
        <f aca="false">$C$12+$C$13</f>
        <v>2711.528233</v>
      </c>
      <c r="D14" s="17" t="s">
        <v>86</v>
      </c>
    </row>
    <row r="15" customFormat="false" ht="15" hidden="false" customHeight="false" outlineLevel="0" collapsed="false">
      <c r="A15" s="4" t="s">
        <v>87</v>
      </c>
      <c r="B15" s="17" t="s">
        <v>88</v>
      </c>
      <c r="C15" s="26" t="n">
        <f aca="false">$C$6*$C$14</f>
        <v>129285.66614944</v>
      </c>
      <c r="D15" s="17"/>
    </row>
    <row r="16" customFormat="false" ht="15" hidden="false" customHeight="false" outlineLevel="0" collapsed="false">
      <c r="A16" s="4" t="s">
        <v>87</v>
      </c>
      <c r="B16" s="17" t="s">
        <v>89</v>
      </c>
      <c r="C16" s="26" t="n">
        <f aca="false">$C$15/$C$7</f>
        <v>16487.784697619</v>
      </c>
      <c r="D16" s="17"/>
    </row>
    <row r="17" customFormat="false" ht="15" hidden="false" customHeight="false" outlineLevel="0" collapsed="false">
      <c r="A17" s="19" t="s">
        <v>90</v>
      </c>
      <c r="B17" s="20"/>
      <c r="C17" s="20"/>
      <c r="D17" s="20"/>
    </row>
    <row r="18" customFormat="false" ht="15" hidden="false" customHeight="false" outlineLevel="0" collapsed="false">
      <c r="A18" s="4" t="s">
        <v>91</v>
      </c>
      <c r="B18" s="17" t="s">
        <v>92</v>
      </c>
      <c r="C18" s="21" t="n">
        <v>1.5</v>
      </c>
      <c r="D18" s="17" t="s">
        <v>93</v>
      </c>
    </row>
    <row r="19" customFormat="false" ht="15" hidden="false" customHeight="false" outlineLevel="0" collapsed="false">
      <c r="A19" s="4" t="s">
        <v>94</v>
      </c>
      <c r="B19" s="17" t="s">
        <v>92</v>
      </c>
      <c r="C19" s="21" t="n">
        <v>1</v>
      </c>
      <c r="D19" s="17" t="s">
        <v>95</v>
      </c>
    </row>
    <row r="20" customFormat="false" ht="15" hidden="false" customHeight="false" outlineLevel="0" collapsed="false">
      <c r="A20" s="4" t="s">
        <v>96</v>
      </c>
      <c r="B20" s="17" t="s">
        <v>92</v>
      </c>
      <c r="C20" s="27" t="n">
        <f aca="false">$C$18+$C$19</f>
        <v>2.5</v>
      </c>
      <c r="D20" s="17"/>
    </row>
    <row r="21" customFormat="false" ht="15" hidden="false" customHeight="false" outlineLevel="0" collapsed="false">
      <c r="A21" s="4" t="s">
        <v>97</v>
      </c>
      <c r="B21" s="17" t="s">
        <v>89</v>
      </c>
      <c r="C21" s="24" t="n">
        <v>344.572</v>
      </c>
      <c r="D21" s="17" t="s">
        <v>98</v>
      </c>
    </row>
    <row r="22" customFormat="false" ht="15" hidden="false" customHeight="false" outlineLevel="0" collapsed="false">
      <c r="A22" s="19" t="s">
        <v>99</v>
      </c>
      <c r="B22" s="20"/>
      <c r="C22" s="20"/>
      <c r="D22" s="20"/>
    </row>
    <row r="23" customFormat="false" ht="15" hidden="false" customHeight="false" outlineLevel="0" collapsed="false">
      <c r="A23" s="4" t="s">
        <v>100</v>
      </c>
      <c r="B23" s="17" t="s">
        <v>101</v>
      </c>
      <c r="C23" s="24" t="n">
        <v>129.652</v>
      </c>
      <c r="D23" s="17" t="s">
        <v>102</v>
      </c>
    </row>
    <row r="24" customFormat="false" ht="15" hidden="false" customHeight="false" outlineLevel="0" collapsed="false">
      <c r="A24" s="4" t="s">
        <v>103</v>
      </c>
      <c r="B24" s="17" t="s">
        <v>101</v>
      </c>
      <c r="C24" s="24" t="n">
        <v>2614.203</v>
      </c>
      <c r="D24" s="17" t="s">
        <v>102</v>
      </c>
    </row>
    <row r="25" customFormat="false" ht="15" hidden="false" customHeight="false" outlineLevel="0" collapsed="false">
      <c r="A25" s="4" t="s">
        <v>104</v>
      </c>
      <c r="B25" s="17" t="s">
        <v>105</v>
      </c>
      <c r="C25" s="24" t="n">
        <v>545.1</v>
      </c>
      <c r="D25" s="17" t="s">
        <v>102</v>
      </c>
    </row>
    <row r="26" customFormat="false" ht="15" hidden="false" customHeight="false" outlineLevel="0" collapsed="false">
      <c r="A26" s="4" t="s">
        <v>106</v>
      </c>
      <c r="B26" s="17" t="s">
        <v>89</v>
      </c>
      <c r="C26" s="24" t="n">
        <v>61.139</v>
      </c>
      <c r="D26" s="17" t="s">
        <v>107</v>
      </c>
    </row>
    <row r="27" customFormat="false" ht="15" hidden="false" customHeight="false" outlineLevel="0" collapsed="false">
      <c r="A27" s="19" t="s">
        <v>108</v>
      </c>
      <c r="B27" s="20"/>
      <c r="C27" s="20"/>
      <c r="D27" s="20"/>
    </row>
    <row r="28" customFormat="false" ht="15" hidden="false" customHeight="false" outlineLevel="0" collapsed="false">
      <c r="A28" s="4" t="s">
        <v>109</v>
      </c>
      <c r="B28" s="17" t="s">
        <v>89</v>
      </c>
      <c r="C28" s="24" t="n">
        <v>150</v>
      </c>
      <c r="D28" s="17" t="s">
        <v>110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3D6B"/>
    <pageSetUpPr fitToPage="true"/>
  </sheetPr>
  <dimension ref="A1:M1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12" min="2" style="0" width="11"/>
    <col collapsed="false" customWidth="true" hidden="false" outlineLevel="0" max="13" min="13" style="0" width="70"/>
  </cols>
  <sheetData>
    <row r="1" customFormat="false" ht="15" hidden="false" customHeight="false" outlineLevel="0" collapsed="false">
      <c r="A1" s="16" t="s">
        <v>111</v>
      </c>
    </row>
    <row r="2" customFormat="false" ht="15" hidden="false" customHeight="false" outlineLevel="0" collapsed="false">
      <c r="A2" s="17" t="s">
        <v>112</v>
      </c>
    </row>
    <row r="3" customFormat="false" ht="15" hidden="false" customHeight="false" outlineLevel="0" collapsed="false">
      <c r="A3" s="13" t="s">
        <v>113</v>
      </c>
      <c r="C3" s="28" t="n">
        <v>2</v>
      </c>
      <c r="D3" s="13" t="str">
        <f aca="false">CHOOSE($C$3,"Bull","Base","Bear")</f>
        <v>Base</v>
      </c>
    </row>
    <row r="4" customFormat="false" ht="15" hidden="false" customHeight="false" outlineLevel="0" collapsed="false">
      <c r="A4" s="29" t="s">
        <v>114</v>
      </c>
      <c r="B4" s="30" t="s">
        <v>63</v>
      </c>
      <c r="C4" s="30" t="s">
        <v>115</v>
      </c>
      <c r="D4" s="30" t="s">
        <v>116</v>
      </c>
      <c r="E4" s="30" t="s">
        <v>117</v>
      </c>
      <c r="F4" s="30" t="s">
        <v>118</v>
      </c>
      <c r="G4" s="30" t="s">
        <v>119</v>
      </c>
      <c r="H4" s="30" t="s">
        <v>120</v>
      </c>
      <c r="I4" s="30" t="s">
        <v>121</v>
      </c>
      <c r="J4" s="30" t="s">
        <v>122</v>
      </c>
      <c r="K4" s="30" t="s">
        <v>123</v>
      </c>
      <c r="L4" s="30" t="s">
        <v>124</v>
      </c>
      <c r="M4" s="29" t="s">
        <v>125</v>
      </c>
    </row>
    <row r="5" customFormat="false" ht="15" hidden="false" customHeight="false" outlineLevel="0" collapsed="false">
      <c r="A5" s="19" t="s">
        <v>126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</row>
    <row r="6" customFormat="false" ht="15" hidden="false" customHeight="false" outlineLevel="0" collapsed="false">
      <c r="A6" s="13" t="s">
        <v>127</v>
      </c>
      <c r="B6" s="17" t="s">
        <v>128</v>
      </c>
      <c r="M6" s="17" t="s">
        <v>129</v>
      </c>
    </row>
    <row r="7" customFormat="false" ht="15" hidden="false" customHeight="false" outlineLevel="0" collapsed="false">
      <c r="A7" s="4" t="s">
        <v>130</v>
      </c>
      <c r="H7" s="31" t="n">
        <v>0.06</v>
      </c>
    </row>
    <row r="8" customFormat="false" ht="15" hidden="false" customHeight="false" outlineLevel="0" collapsed="false">
      <c r="A8" s="4" t="s">
        <v>131</v>
      </c>
      <c r="H8" s="31" t="n">
        <v>0.04</v>
      </c>
    </row>
    <row r="9" customFormat="false" ht="15" hidden="false" customHeight="false" outlineLevel="0" collapsed="false">
      <c r="A9" s="4" t="s">
        <v>132</v>
      </c>
      <c r="H9" s="31" t="n">
        <v>0.01</v>
      </c>
    </row>
    <row r="10" customFormat="false" ht="15" hidden="false" customHeight="false" outlineLevel="0" collapsed="false">
      <c r="A10" s="13" t="s">
        <v>133</v>
      </c>
      <c r="H10" s="32" t="n">
        <f aca="false">CHOOSE($C$3,H7,H8,H9)</f>
        <v>0.04</v>
      </c>
    </row>
    <row r="11" customFormat="false" ht="15" hidden="false" customHeight="false" outlineLevel="0" collapsed="false">
      <c r="A11" s="13" t="s">
        <v>134</v>
      </c>
      <c r="B11" s="17" t="s">
        <v>105</v>
      </c>
      <c r="M11" s="17" t="s">
        <v>135</v>
      </c>
    </row>
    <row r="12" customFormat="false" ht="15" hidden="false" customHeight="false" outlineLevel="0" collapsed="false">
      <c r="A12" s="4" t="s">
        <v>130</v>
      </c>
      <c r="H12" s="24" t="n">
        <v>870</v>
      </c>
    </row>
    <row r="13" customFormat="false" ht="15" hidden="false" customHeight="false" outlineLevel="0" collapsed="false">
      <c r="A13" s="4" t="s">
        <v>131</v>
      </c>
      <c r="H13" s="24" t="n">
        <v>845</v>
      </c>
    </row>
    <row r="14" customFormat="false" ht="15" hidden="false" customHeight="false" outlineLevel="0" collapsed="false">
      <c r="A14" s="4" t="s">
        <v>132</v>
      </c>
      <c r="H14" s="24" t="n">
        <v>810</v>
      </c>
    </row>
    <row r="15" customFormat="false" ht="15" hidden="false" customHeight="false" outlineLevel="0" collapsed="false">
      <c r="A15" s="13" t="s">
        <v>133</v>
      </c>
      <c r="H15" s="33" t="n">
        <f aca="false">CHOOSE($C$3,H12,H13,H14)</f>
        <v>845</v>
      </c>
    </row>
    <row r="16" customFormat="false" ht="15" hidden="false" customHeight="false" outlineLevel="0" collapsed="false">
      <c r="A16" s="13" t="s">
        <v>136</v>
      </c>
      <c r="B16" s="17" t="s">
        <v>128</v>
      </c>
      <c r="M16" s="17" t="s">
        <v>137</v>
      </c>
    </row>
    <row r="17" customFormat="false" ht="15" hidden="false" customHeight="false" outlineLevel="0" collapsed="false">
      <c r="A17" s="4" t="s">
        <v>130</v>
      </c>
      <c r="I17" s="31" t="n">
        <v>0.07</v>
      </c>
      <c r="J17" s="31" t="n">
        <v>0.06</v>
      </c>
      <c r="K17" s="31" t="n">
        <v>0.05</v>
      </c>
      <c r="L17" s="31" t="n">
        <v>0.04</v>
      </c>
    </row>
    <row r="18" customFormat="false" ht="15" hidden="false" customHeight="false" outlineLevel="0" collapsed="false">
      <c r="A18" s="4" t="s">
        <v>131</v>
      </c>
      <c r="I18" s="31" t="n">
        <v>0.05</v>
      </c>
      <c r="J18" s="31" t="n">
        <v>0.05</v>
      </c>
      <c r="K18" s="31" t="n">
        <v>0.04</v>
      </c>
      <c r="L18" s="31" t="n">
        <v>0.035</v>
      </c>
    </row>
    <row r="19" customFormat="false" ht="15" hidden="false" customHeight="false" outlineLevel="0" collapsed="false">
      <c r="A19" s="4" t="s">
        <v>132</v>
      </c>
      <c r="I19" s="31" t="n">
        <v>0.02</v>
      </c>
      <c r="J19" s="31" t="n">
        <v>0.03</v>
      </c>
      <c r="K19" s="31" t="n">
        <v>0.03</v>
      </c>
      <c r="L19" s="31" t="n">
        <v>0.03</v>
      </c>
    </row>
    <row r="20" customFormat="false" ht="15" hidden="false" customHeight="false" outlineLevel="0" collapsed="false">
      <c r="A20" s="13" t="s">
        <v>133</v>
      </c>
      <c r="I20" s="32" t="n">
        <f aca="false">CHOOSE($C$3,I17,I18,I19)</f>
        <v>0.05</v>
      </c>
      <c r="J20" s="32" t="n">
        <f aca="false">CHOOSE($C$3,J17,J18,J19)</f>
        <v>0.05</v>
      </c>
      <c r="K20" s="32" t="n">
        <f aca="false">CHOOSE($C$3,K17,K18,K19)</f>
        <v>0.04</v>
      </c>
      <c r="L20" s="32" t="n">
        <f aca="false">CHOOSE($C$3,L17,L18,L19)</f>
        <v>0.035</v>
      </c>
    </row>
    <row r="21" customFormat="false" ht="15" hidden="false" customHeight="false" outlineLevel="0" collapsed="false">
      <c r="A21" s="13" t="s">
        <v>138</v>
      </c>
      <c r="B21" s="17" t="s">
        <v>128</v>
      </c>
      <c r="M21" s="17" t="s">
        <v>139</v>
      </c>
    </row>
    <row r="22" customFormat="false" ht="15" hidden="false" customHeight="false" outlineLevel="0" collapsed="false">
      <c r="A22" s="4" t="s">
        <v>130</v>
      </c>
      <c r="I22" s="31" t="n">
        <v>-0.03</v>
      </c>
      <c r="J22" s="31" t="n">
        <v>0</v>
      </c>
      <c r="K22" s="31" t="n">
        <v>0.01</v>
      </c>
      <c r="L22" s="31" t="n">
        <v>0.02</v>
      </c>
    </row>
    <row r="23" customFormat="false" ht="15" hidden="false" customHeight="false" outlineLevel="0" collapsed="false">
      <c r="A23" s="4" t="s">
        <v>131</v>
      </c>
      <c r="I23" s="31" t="n">
        <v>-0.1</v>
      </c>
      <c r="J23" s="31" t="n">
        <v>-0.05</v>
      </c>
      <c r="K23" s="31" t="n">
        <v>0</v>
      </c>
      <c r="L23" s="31" t="n">
        <v>0.01</v>
      </c>
    </row>
    <row r="24" customFormat="false" ht="15" hidden="false" customHeight="false" outlineLevel="0" collapsed="false">
      <c r="A24" s="4" t="s">
        <v>132</v>
      </c>
      <c r="I24" s="31" t="n">
        <v>-0.2</v>
      </c>
      <c r="J24" s="31" t="n">
        <v>-0.08</v>
      </c>
      <c r="K24" s="31" t="n">
        <v>0</v>
      </c>
      <c r="L24" s="31" t="n">
        <v>0.02</v>
      </c>
    </row>
    <row r="25" customFormat="false" ht="15" hidden="false" customHeight="false" outlineLevel="0" collapsed="false">
      <c r="A25" s="13" t="s">
        <v>133</v>
      </c>
      <c r="I25" s="32" t="n">
        <f aca="false">CHOOSE($C$3,I22,I23,I24)</f>
        <v>-0.1</v>
      </c>
      <c r="J25" s="32" t="n">
        <f aca="false">CHOOSE($C$3,J22,J23,J24)</f>
        <v>-0.05</v>
      </c>
      <c r="K25" s="32" t="n">
        <f aca="false">CHOOSE($C$3,K22,K23,K24)</f>
        <v>0</v>
      </c>
      <c r="L25" s="32" t="n">
        <f aca="false">CHOOSE($C$3,L22,L23,L24)</f>
        <v>0.01</v>
      </c>
    </row>
    <row r="26" customFormat="false" ht="15" hidden="false" customHeight="false" outlineLevel="0" collapsed="false">
      <c r="A26" s="13" t="s">
        <v>140</v>
      </c>
      <c r="B26" s="17" t="s">
        <v>128</v>
      </c>
      <c r="M26" s="17" t="s">
        <v>141</v>
      </c>
    </row>
    <row r="27" customFormat="false" ht="15" hidden="false" customHeight="false" outlineLevel="0" collapsed="false">
      <c r="A27" s="4" t="s">
        <v>130</v>
      </c>
      <c r="I27" s="31" t="n">
        <v>-0.03</v>
      </c>
      <c r="J27" s="31" t="n">
        <v>-0.02</v>
      </c>
      <c r="K27" s="31" t="n">
        <v>0</v>
      </c>
      <c r="L27" s="31" t="n">
        <v>0.01</v>
      </c>
    </row>
    <row r="28" customFormat="false" ht="15" hidden="false" customHeight="false" outlineLevel="0" collapsed="false">
      <c r="A28" s="4" t="s">
        <v>131</v>
      </c>
      <c r="I28" s="31" t="n">
        <v>-0.02</v>
      </c>
      <c r="J28" s="31" t="n">
        <v>-0.01</v>
      </c>
      <c r="K28" s="31" t="n">
        <v>0.01</v>
      </c>
      <c r="L28" s="31" t="n">
        <v>0.015</v>
      </c>
    </row>
    <row r="29" customFormat="false" ht="15" hidden="false" customHeight="false" outlineLevel="0" collapsed="false">
      <c r="A29" s="4" t="s">
        <v>132</v>
      </c>
      <c r="I29" s="31" t="n">
        <v>0</v>
      </c>
      <c r="J29" s="31" t="n">
        <v>0</v>
      </c>
      <c r="K29" s="31" t="n">
        <v>0.01</v>
      </c>
      <c r="L29" s="31" t="n">
        <v>0.02</v>
      </c>
    </row>
    <row r="30" customFormat="false" ht="15" hidden="false" customHeight="false" outlineLevel="0" collapsed="false">
      <c r="A30" s="13" t="s">
        <v>133</v>
      </c>
      <c r="I30" s="32" t="n">
        <f aca="false">CHOOSE($C$3,I27,I28,I29)</f>
        <v>-0.02</v>
      </c>
      <c r="J30" s="32" t="n">
        <f aca="false">CHOOSE($C$3,J27,J28,J29)</f>
        <v>-0.01</v>
      </c>
      <c r="K30" s="32" t="n">
        <f aca="false">CHOOSE($C$3,K27,K28,K29)</f>
        <v>0.01</v>
      </c>
      <c r="L30" s="32" t="n">
        <f aca="false">CHOOSE($C$3,L27,L28,L29)</f>
        <v>0.015</v>
      </c>
    </row>
    <row r="31" customFormat="false" ht="15" hidden="false" customHeight="false" outlineLevel="0" collapsed="false">
      <c r="A31" s="13" t="s">
        <v>142</v>
      </c>
      <c r="B31" s="17" t="s">
        <v>128</v>
      </c>
      <c r="M31" s="17" t="s">
        <v>143</v>
      </c>
    </row>
    <row r="32" customFormat="false" ht="15" hidden="false" customHeight="false" outlineLevel="0" collapsed="false">
      <c r="A32" s="4" t="s">
        <v>130</v>
      </c>
      <c r="H32" s="31" t="n">
        <v>0.25</v>
      </c>
      <c r="I32" s="31" t="n">
        <v>0.1</v>
      </c>
      <c r="J32" s="31" t="n">
        <v>0.08</v>
      </c>
      <c r="K32" s="31" t="n">
        <v>0.07</v>
      </c>
      <c r="L32" s="31" t="n">
        <v>0.06</v>
      </c>
    </row>
    <row r="33" customFormat="false" ht="15" hidden="false" customHeight="false" outlineLevel="0" collapsed="false">
      <c r="A33" s="4" t="s">
        <v>131</v>
      </c>
      <c r="H33" s="31" t="n">
        <v>0.22</v>
      </c>
      <c r="I33" s="31" t="n">
        <v>0.06</v>
      </c>
      <c r="J33" s="31" t="n">
        <v>0.05</v>
      </c>
      <c r="K33" s="31" t="n">
        <v>0.05</v>
      </c>
      <c r="L33" s="31" t="n">
        <v>0.04</v>
      </c>
    </row>
    <row r="34" customFormat="false" ht="15" hidden="false" customHeight="false" outlineLevel="0" collapsed="false">
      <c r="A34" s="4" t="s">
        <v>132</v>
      </c>
      <c r="H34" s="31" t="n">
        <v>0.2</v>
      </c>
      <c r="I34" s="31" t="n">
        <v>0</v>
      </c>
      <c r="J34" s="31" t="n">
        <v>0.02</v>
      </c>
      <c r="K34" s="31" t="n">
        <v>0.03</v>
      </c>
      <c r="L34" s="31" t="n">
        <v>0.03</v>
      </c>
    </row>
    <row r="35" customFormat="false" ht="15" hidden="false" customHeight="false" outlineLevel="0" collapsed="false">
      <c r="A35" s="13" t="s">
        <v>133</v>
      </c>
      <c r="H35" s="32" t="n">
        <f aca="false">CHOOSE($C$3,H32,H33,H34)</f>
        <v>0.22</v>
      </c>
      <c r="I35" s="32" t="n">
        <f aca="false">CHOOSE($C$3,I32,I33,I34)</f>
        <v>0.06</v>
      </c>
      <c r="J35" s="32" t="n">
        <f aca="false">CHOOSE($C$3,J32,J33,J34)</f>
        <v>0.05</v>
      </c>
      <c r="K35" s="32" t="n">
        <f aca="false">CHOOSE($C$3,K32,K33,K34)</f>
        <v>0.05</v>
      </c>
      <c r="L35" s="32" t="n">
        <f aca="false">CHOOSE($C$3,L32,L33,L34)</f>
        <v>0.04</v>
      </c>
    </row>
    <row r="36" customFormat="false" ht="15" hidden="false" customHeight="false" outlineLevel="0" collapsed="false">
      <c r="A36" s="13" t="s">
        <v>144</v>
      </c>
      <c r="B36" s="17" t="s">
        <v>128</v>
      </c>
      <c r="M36" s="17" t="s">
        <v>145</v>
      </c>
    </row>
    <row r="37" customFormat="false" ht="15" hidden="false" customHeight="false" outlineLevel="0" collapsed="false">
      <c r="A37" s="4" t="s">
        <v>130</v>
      </c>
      <c r="H37" s="31" t="n">
        <v>0.9</v>
      </c>
      <c r="I37" s="31" t="n">
        <v>0.9</v>
      </c>
      <c r="J37" s="31" t="n">
        <v>0.9</v>
      </c>
      <c r="K37" s="31" t="n">
        <v>0.9</v>
      </c>
      <c r="L37" s="31" t="n">
        <v>0.9</v>
      </c>
    </row>
    <row r="38" customFormat="false" ht="15" hidden="false" customHeight="false" outlineLevel="0" collapsed="false">
      <c r="A38" s="4" t="s">
        <v>131</v>
      </c>
      <c r="H38" s="31" t="n">
        <v>0.85</v>
      </c>
      <c r="I38" s="31" t="n">
        <v>0.8</v>
      </c>
      <c r="J38" s="31" t="n">
        <v>0.8</v>
      </c>
      <c r="K38" s="31" t="n">
        <v>0.8</v>
      </c>
      <c r="L38" s="31" t="n">
        <v>0.8</v>
      </c>
    </row>
    <row r="39" customFormat="false" ht="15" hidden="false" customHeight="false" outlineLevel="0" collapsed="false">
      <c r="A39" s="4" t="s">
        <v>132</v>
      </c>
      <c r="H39" s="31" t="n">
        <v>0.8</v>
      </c>
      <c r="I39" s="31" t="n">
        <v>0.7</v>
      </c>
      <c r="J39" s="31" t="n">
        <v>0.7</v>
      </c>
      <c r="K39" s="31" t="n">
        <v>0.7</v>
      </c>
      <c r="L39" s="31" t="n">
        <v>0.7</v>
      </c>
    </row>
    <row r="40" customFormat="false" ht="15" hidden="false" customHeight="false" outlineLevel="0" collapsed="false">
      <c r="A40" s="13" t="s">
        <v>133</v>
      </c>
      <c r="H40" s="32" t="n">
        <f aca="false">CHOOSE($C$3,H37,H38,H39)</f>
        <v>0.85</v>
      </c>
      <c r="I40" s="32" t="n">
        <f aca="false">CHOOSE($C$3,I37,I38,I39)</f>
        <v>0.8</v>
      </c>
      <c r="J40" s="32" t="n">
        <f aca="false">CHOOSE($C$3,J37,J38,J39)</f>
        <v>0.8</v>
      </c>
      <c r="K40" s="32" t="n">
        <f aca="false">CHOOSE($C$3,K37,K38,K39)</f>
        <v>0.8</v>
      </c>
      <c r="L40" s="32" t="n">
        <f aca="false">CHOOSE($C$3,L37,L38,L39)</f>
        <v>0.8</v>
      </c>
    </row>
    <row r="42" customFormat="false" ht="15" hidden="false" customHeight="false" outlineLevel="0" collapsed="false">
      <c r="A42" s="19" t="s">
        <v>146</v>
      </c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</row>
    <row r="43" customFormat="false" ht="15" hidden="false" customHeight="false" outlineLevel="0" collapsed="false">
      <c r="A43" s="3" t="s">
        <v>147</v>
      </c>
    </row>
    <row r="44" customFormat="false" ht="15" hidden="false" customHeight="false" outlineLevel="0" collapsed="false">
      <c r="A44" s="4" t="s">
        <v>148</v>
      </c>
      <c r="B44" s="17" t="s">
        <v>101</v>
      </c>
      <c r="H44" s="24" t="n">
        <v>4</v>
      </c>
      <c r="I44" s="24" t="n">
        <v>26</v>
      </c>
      <c r="J44" s="24" t="n">
        <v>30</v>
      </c>
      <c r="K44" s="24" t="n">
        <v>6.2</v>
      </c>
      <c r="L44" s="24" t="n">
        <v>0</v>
      </c>
      <c r="M44" s="17" t="s">
        <v>149</v>
      </c>
    </row>
    <row r="45" customFormat="false" ht="15" hidden="false" customHeight="false" outlineLevel="0" collapsed="false">
      <c r="A45" s="4" t="s">
        <v>150</v>
      </c>
      <c r="B45" s="17" t="s">
        <v>101</v>
      </c>
      <c r="H45" s="24" t="n">
        <v>1.7</v>
      </c>
      <c r="I45" s="24" t="n">
        <v>12</v>
      </c>
      <c r="J45" s="24" t="n">
        <v>15</v>
      </c>
      <c r="K45" s="24" t="n">
        <v>6</v>
      </c>
      <c r="L45" s="24" t="n">
        <v>4</v>
      </c>
      <c r="M45" s="17" t="s">
        <v>151</v>
      </c>
    </row>
    <row r="46" customFormat="false" ht="15" hidden="false" customHeight="false" outlineLevel="0" collapsed="false">
      <c r="A46" s="4" t="s">
        <v>152</v>
      </c>
      <c r="B46" s="17" t="s">
        <v>153</v>
      </c>
      <c r="H46" s="24" t="n">
        <v>13.4</v>
      </c>
      <c r="I46" s="24" t="n">
        <v>13.4</v>
      </c>
      <c r="J46" s="24" t="n">
        <v>13.4</v>
      </c>
      <c r="K46" s="24" t="n">
        <v>13.4</v>
      </c>
      <c r="L46" s="24" t="n">
        <v>13.4</v>
      </c>
      <c r="M46" s="17" t="s">
        <v>154</v>
      </c>
    </row>
    <row r="47" customFormat="false" ht="15" hidden="false" customHeight="false" outlineLevel="0" collapsed="false">
      <c r="A47" s="3" t="s">
        <v>155</v>
      </c>
    </row>
    <row r="48" customFormat="false" ht="15" hidden="false" customHeight="false" outlineLevel="0" collapsed="false">
      <c r="A48" s="4" t="s">
        <v>156</v>
      </c>
      <c r="B48" s="17" t="s">
        <v>128</v>
      </c>
      <c r="H48" s="31" t="n">
        <v>0.035</v>
      </c>
      <c r="I48" s="31" t="n">
        <v>0.035</v>
      </c>
      <c r="J48" s="31" t="n">
        <v>0.035</v>
      </c>
      <c r="K48" s="31" t="n">
        <v>0.035</v>
      </c>
      <c r="L48" s="31" t="n">
        <v>0.035</v>
      </c>
      <c r="M48" s="17" t="s">
        <v>157</v>
      </c>
    </row>
    <row r="49" customFormat="false" ht="15" hidden="false" customHeight="false" outlineLevel="0" collapsed="false">
      <c r="A49" s="4" t="s">
        <v>158</v>
      </c>
      <c r="B49" s="17" t="s">
        <v>89</v>
      </c>
      <c r="H49" s="24" t="n">
        <v>2.6</v>
      </c>
      <c r="I49" s="24" t="n">
        <v>2.6</v>
      </c>
      <c r="J49" s="24" t="n">
        <v>2.6</v>
      </c>
      <c r="K49" s="24" t="n">
        <v>2.6</v>
      </c>
      <c r="L49" s="24" t="n">
        <v>2.6</v>
      </c>
      <c r="M49" s="17" t="s">
        <v>159</v>
      </c>
    </row>
    <row r="50" customFormat="false" ht="15" hidden="false" customHeight="false" outlineLevel="0" collapsed="false">
      <c r="A50" s="4" t="s">
        <v>160</v>
      </c>
      <c r="B50" s="17" t="s">
        <v>128</v>
      </c>
      <c r="H50" s="31" t="n">
        <v>0.48</v>
      </c>
      <c r="I50" s="31" t="n">
        <v>0.475</v>
      </c>
      <c r="J50" s="31" t="n">
        <v>0.47</v>
      </c>
      <c r="K50" s="31" t="n">
        <v>0.465</v>
      </c>
      <c r="L50" s="31" t="n">
        <v>0.46</v>
      </c>
      <c r="M50" s="17" t="s">
        <v>161</v>
      </c>
    </row>
    <row r="51" customFormat="false" ht="15" hidden="false" customHeight="false" outlineLevel="0" collapsed="false">
      <c r="A51" s="4" t="s">
        <v>162</v>
      </c>
      <c r="B51" s="17" t="s">
        <v>128</v>
      </c>
      <c r="H51" s="31" t="n">
        <v>0.295</v>
      </c>
      <c r="I51" s="31" t="n">
        <v>0.3</v>
      </c>
      <c r="J51" s="31" t="n">
        <v>0.305</v>
      </c>
      <c r="K51" s="31" t="n">
        <v>0.31</v>
      </c>
      <c r="L51" s="31" t="n">
        <v>0.315</v>
      </c>
      <c r="M51" s="17" t="s">
        <v>163</v>
      </c>
    </row>
    <row r="52" customFormat="false" ht="15" hidden="false" customHeight="false" outlineLevel="0" collapsed="false">
      <c r="A52" s="4" t="s">
        <v>164</v>
      </c>
      <c r="B52" s="17" t="s">
        <v>128</v>
      </c>
      <c r="H52" s="31" t="n">
        <v>0.173</v>
      </c>
      <c r="I52" s="31" t="n">
        <v>0.172</v>
      </c>
      <c r="J52" s="31" t="n">
        <v>0.171</v>
      </c>
      <c r="K52" s="31" t="n">
        <v>0.17</v>
      </c>
      <c r="L52" s="31" t="n">
        <v>0.17</v>
      </c>
      <c r="M52" s="17" t="s">
        <v>165</v>
      </c>
    </row>
    <row r="53" customFormat="false" ht="15" hidden="false" customHeight="false" outlineLevel="0" collapsed="false">
      <c r="A53" s="3" t="s">
        <v>166</v>
      </c>
    </row>
    <row r="54" customFormat="false" ht="15" hidden="false" customHeight="false" outlineLevel="0" collapsed="false">
      <c r="A54" s="4" t="s">
        <v>167</v>
      </c>
      <c r="B54" s="17" t="s">
        <v>105</v>
      </c>
      <c r="H54" s="24" t="n">
        <v>276</v>
      </c>
      <c r="M54" s="17" t="s">
        <v>168</v>
      </c>
    </row>
    <row r="55" customFormat="false" ht="15" hidden="false" customHeight="false" outlineLevel="0" collapsed="false">
      <c r="A55" s="4" t="s">
        <v>169</v>
      </c>
      <c r="B55" s="17" t="s">
        <v>128</v>
      </c>
      <c r="I55" s="31" t="n">
        <v>0.015</v>
      </c>
      <c r="J55" s="31" t="n">
        <v>0.015</v>
      </c>
      <c r="K55" s="31" t="n">
        <v>0.015</v>
      </c>
      <c r="L55" s="31" t="n">
        <v>0.015</v>
      </c>
      <c r="M55" s="17" t="s">
        <v>170</v>
      </c>
    </row>
    <row r="56" customFormat="false" ht="15" hidden="false" customHeight="false" outlineLevel="0" collapsed="false">
      <c r="A56" s="4" t="s">
        <v>171</v>
      </c>
      <c r="B56" s="17" t="s">
        <v>105</v>
      </c>
      <c r="H56" s="24" t="n">
        <v>115.5</v>
      </c>
      <c r="M56" s="17" t="s">
        <v>172</v>
      </c>
    </row>
    <row r="57" customFormat="false" ht="15" hidden="false" customHeight="false" outlineLevel="0" collapsed="false">
      <c r="A57" s="4" t="s">
        <v>173</v>
      </c>
      <c r="B57" s="17" t="s">
        <v>128</v>
      </c>
      <c r="I57" s="31" t="n">
        <v>-0.03</v>
      </c>
      <c r="J57" s="31" t="n">
        <v>0</v>
      </c>
      <c r="K57" s="31" t="n">
        <v>0.01</v>
      </c>
      <c r="L57" s="31" t="n">
        <v>0.01</v>
      </c>
      <c r="M57" s="17" t="s">
        <v>174</v>
      </c>
    </row>
    <row r="58" customFormat="false" ht="15" hidden="false" customHeight="false" outlineLevel="0" collapsed="false">
      <c r="A58" s="4" t="s">
        <v>175</v>
      </c>
      <c r="B58" s="17" t="s">
        <v>176</v>
      </c>
      <c r="H58" s="34" t="n">
        <v>1960</v>
      </c>
      <c r="M58" s="17" t="s">
        <v>177</v>
      </c>
    </row>
    <row r="59" customFormat="false" ht="15" hidden="false" customHeight="false" outlineLevel="0" collapsed="false">
      <c r="A59" s="4" t="s">
        <v>178</v>
      </c>
      <c r="B59" s="17" t="s">
        <v>128</v>
      </c>
      <c r="H59" s="31" t="n">
        <v>0.83</v>
      </c>
      <c r="I59" s="31" t="n">
        <v>0.83</v>
      </c>
      <c r="J59" s="31" t="n">
        <v>0.83</v>
      </c>
      <c r="K59" s="31" t="n">
        <v>0.83</v>
      </c>
      <c r="L59" s="31" t="n">
        <v>0.83</v>
      </c>
      <c r="M59" s="17" t="s">
        <v>179</v>
      </c>
    </row>
    <row r="60" customFormat="false" ht="15" hidden="false" customHeight="false" outlineLevel="0" collapsed="false">
      <c r="A60" s="4" t="s">
        <v>180</v>
      </c>
      <c r="B60" s="17" t="s">
        <v>128</v>
      </c>
      <c r="H60" s="31" t="n">
        <v>0.6</v>
      </c>
      <c r="I60" s="31" t="n">
        <v>0.6</v>
      </c>
      <c r="J60" s="31" t="n">
        <v>0.6</v>
      </c>
      <c r="K60" s="31" t="n">
        <v>0.6</v>
      </c>
      <c r="L60" s="31" t="n">
        <v>0.6</v>
      </c>
      <c r="M60" s="17" t="s">
        <v>181</v>
      </c>
    </row>
    <row r="61" customFormat="false" ht="15" hidden="false" customHeight="false" outlineLevel="0" collapsed="false">
      <c r="A61" s="3" t="s">
        <v>182</v>
      </c>
    </row>
    <row r="62" customFormat="false" ht="15" hidden="false" customHeight="false" outlineLevel="0" collapsed="false">
      <c r="A62" s="4" t="s">
        <v>183</v>
      </c>
      <c r="B62" s="17" t="s">
        <v>128</v>
      </c>
      <c r="H62" s="35" t="n">
        <v>0.035</v>
      </c>
      <c r="I62" s="35" t="n">
        <v>0.0325</v>
      </c>
      <c r="J62" s="35" t="n">
        <v>0.03</v>
      </c>
      <c r="K62" s="35" t="n">
        <v>0.03</v>
      </c>
      <c r="L62" s="35" t="n">
        <v>0.03</v>
      </c>
      <c r="M62" s="17" t="s">
        <v>184</v>
      </c>
    </row>
    <row r="63" customFormat="false" ht="15" hidden="false" customHeight="false" outlineLevel="0" collapsed="false">
      <c r="A63" s="4" t="s">
        <v>185</v>
      </c>
      <c r="B63" s="17" t="s">
        <v>89</v>
      </c>
      <c r="H63" s="24" t="n">
        <v>10</v>
      </c>
      <c r="I63" s="24" t="n">
        <v>5</v>
      </c>
      <c r="J63" s="24" t="n">
        <v>5</v>
      </c>
      <c r="K63" s="24" t="n">
        <v>5</v>
      </c>
      <c r="L63" s="24" t="n">
        <v>5</v>
      </c>
      <c r="M63" s="17" t="s">
        <v>186</v>
      </c>
    </row>
    <row r="64" customFormat="false" ht="15" hidden="false" customHeight="false" outlineLevel="0" collapsed="false">
      <c r="A64" s="4" t="s">
        <v>187</v>
      </c>
      <c r="B64" s="17" t="s">
        <v>89</v>
      </c>
      <c r="H64" s="24" t="n">
        <v>30</v>
      </c>
      <c r="I64" s="24" t="n">
        <v>15</v>
      </c>
      <c r="J64" s="24" t="n">
        <v>15</v>
      </c>
      <c r="K64" s="24" t="n">
        <v>15</v>
      </c>
      <c r="L64" s="24" t="n">
        <v>15</v>
      </c>
      <c r="M64" s="17" t="s">
        <v>188</v>
      </c>
    </row>
    <row r="65" customFormat="false" ht="15" hidden="false" customHeight="false" outlineLevel="0" collapsed="false">
      <c r="A65" s="4" t="s">
        <v>189</v>
      </c>
      <c r="B65" s="17" t="s">
        <v>89</v>
      </c>
      <c r="H65" s="24" t="n">
        <v>12</v>
      </c>
      <c r="I65" s="24" t="n">
        <v>10</v>
      </c>
      <c r="J65" s="24" t="n">
        <v>10</v>
      </c>
      <c r="K65" s="24" t="n">
        <v>10</v>
      </c>
      <c r="L65" s="24" t="n">
        <v>10</v>
      </c>
      <c r="M65" s="17" t="s">
        <v>190</v>
      </c>
    </row>
    <row r="66" customFormat="false" ht="15" hidden="false" customHeight="false" outlineLevel="0" collapsed="false">
      <c r="A66" s="4" t="s">
        <v>191</v>
      </c>
      <c r="B66" s="17" t="s">
        <v>128</v>
      </c>
      <c r="H66" s="31" t="n">
        <v>0.13</v>
      </c>
      <c r="I66" s="31" t="n">
        <v>0.05</v>
      </c>
      <c r="J66" s="31" t="n">
        <v>0.04</v>
      </c>
      <c r="K66" s="31" t="n">
        <v>0.04</v>
      </c>
      <c r="L66" s="31" t="n">
        <v>0.04</v>
      </c>
      <c r="M66" s="17" t="s">
        <v>192</v>
      </c>
    </row>
    <row r="67" customFormat="false" ht="15" hidden="false" customHeight="false" outlineLevel="0" collapsed="false">
      <c r="A67" s="4" t="s">
        <v>193</v>
      </c>
      <c r="B67" s="17" t="s">
        <v>89</v>
      </c>
      <c r="H67" s="24" t="n">
        <v>4</v>
      </c>
      <c r="I67" s="24" t="n">
        <v>4</v>
      </c>
      <c r="J67" s="24" t="n">
        <v>4</v>
      </c>
      <c r="K67" s="24" t="n">
        <v>4</v>
      </c>
      <c r="L67" s="24" t="n">
        <v>4</v>
      </c>
      <c r="M67" s="17" t="s">
        <v>194</v>
      </c>
    </row>
    <row r="68" customFormat="false" ht="15" hidden="false" customHeight="false" outlineLevel="0" collapsed="false">
      <c r="A68" s="4" t="s">
        <v>195</v>
      </c>
      <c r="B68" s="17" t="s">
        <v>128</v>
      </c>
      <c r="H68" s="35" t="n">
        <v>0.043</v>
      </c>
      <c r="I68" s="35" t="n">
        <v>0.043</v>
      </c>
      <c r="J68" s="35" t="n">
        <v>0.043</v>
      </c>
      <c r="K68" s="35" t="n">
        <v>0.043</v>
      </c>
      <c r="L68" s="35" t="n">
        <v>0.043</v>
      </c>
      <c r="M68" s="17" t="s">
        <v>196</v>
      </c>
    </row>
    <row r="69" customFormat="false" ht="15" hidden="false" customHeight="false" outlineLevel="0" collapsed="false">
      <c r="A69" s="4" t="s">
        <v>197</v>
      </c>
      <c r="B69" s="17" t="s">
        <v>128</v>
      </c>
      <c r="H69" s="31" t="n">
        <v>0.16</v>
      </c>
      <c r="I69" s="31" t="n">
        <v>0.04</v>
      </c>
      <c r="J69" s="31" t="n">
        <v>0.03</v>
      </c>
      <c r="K69" s="31" t="n">
        <v>0.03</v>
      </c>
      <c r="L69" s="31" t="n">
        <v>0.03</v>
      </c>
      <c r="M69" s="17" t="s">
        <v>198</v>
      </c>
    </row>
    <row r="70" customFormat="false" ht="15" hidden="false" customHeight="false" outlineLevel="0" collapsed="false">
      <c r="A70" s="4" t="s">
        <v>199</v>
      </c>
      <c r="B70" s="17" t="s">
        <v>89</v>
      </c>
      <c r="H70" s="24" t="n">
        <v>1.5</v>
      </c>
      <c r="I70" s="24" t="n">
        <v>1.5</v>
      </c>
      <c r="J70" s="24" t="n">
        <v>1.5</v>
      </c>
      <c r="K70" s="24" t="n">
        <v>1.5</v>
      </c>
      <c r="L70" s="24" t="n">
        <v>1.5</v>
      </c>
      <c r="M70" s="17" t="s">
        <v>200</v>
      </c>
    </row>
    <row r="71" customFormat="false" ht="15" hidden="false" customHeight="false" outlineLevel="0" collapsed="false">
      <c r="A71" s="4" t="s">
        <v>201</v>
      </c>
      <c r="B71" s="17" t="s">
        <v>128</v>
      </c>
      <c r="H71" s="31" t="n">
        <v>0.85</v>
      </c>
      <c r="I71" s="31" t="n">
        <v>0.85</v>
      </c>
      <c r="J71" s="31" t="n">
        <v>0.85</v>
      </c>
      <c r="K71" s="31" t="n">
        <v>0.85</v>
      </c>
      <c r="L71" s="31" t="n">
        <v>0.85</v>
      </c>
      <c r="M71" s="17" t="s">
        <v>202</v>
      </c>
    </row>
    <row r="72" customFormat="false" ht="15" hidden="false" customHeight="false" outlineLevel="0" collapsed="false">
      <c r="A72" s="4" t="s">
        <v>203</v>
      </c>
      <c r="B72" s="17" t="s">
        <v>128</v>
      </c>
      <c r="H72" s="31" t="n">
        <v>0.017</v>
      </c>
      <c r="I72" s="31" t="n">
        <v>0.017</v>
      </c>
      <c r="J72" s="31" t="n">
        <v>0.017</v>
      </c>
      <c r="K72" s="31" t="n">
        <v>0.017</v>
      </c>
      <c r="L72" s="31" t="n">
        <v>0.017</v>
      </c>
      <c r="M72" s="17" t="s">
        <v>204</v>
      </c>
    </row>
    <row r="73" customFormat="false" ht="15" hidden="false" customHeight="false" outlineLevel="0" collapsed="false">
      <c r="A73" s="4" t="s">
        <v>205</v>
      </c>
      <c r="B73" s="17" t="s">
        <v>128</v>
      </c>
      <c r="H73" s="31" t="n">
        <v>0.006</v>
      </c>
      <c r="I73" s="31" t="n">
        <v>0.006</v>
      </c>
      <c r="J73" s="31" t="n">
        <v>0.006</v>
      </c>
      <c r="K73" s="31" t="n">
        <v>0.006</v>
      </c>
      <c r="L73" s="31" t="n">
        <v>0.006</v>
      </c>
      <c r="M73" s="17" t="s">
        <v>206</v>
      </c>
    </row>
    <row r="74" customFormat="false" ht="15" hidden="false" customHeight="false" outlineLevel="0" collapsed="false">
      <c r="A74" s="4" t="s">
        <v>207</v>
      </c>
      <c r="B74" s="17" t="s">
        <v>89</v>
      </c>
      <c r="H74" s="24" t="n">
        <v>25</v>
      </c>
      <c r="I74" s="24" t="n">
        <v>25</v>
      </c>
      <c r="J74" s="24" t="n">
        <v>25</v>
      </c>
      <c r="K74" s="24" t="n">
        <v>25</v>
      </c>
      <c r="L74" s="24" t="n">
        <v>25</v>
      </c>
      <c r="M74" s="17" t="s">
        <v>208</v>
      </c>
    </row>
    <row r="75" customFormat="false" ht="15" hidden="false" customHeight="false" outlineLevel="0" collapsed="false">
      <c r="A75" s="3" t="s">
        <v>209</v>
      </c>
    </row>
    <row r="76" customFormat="false" ht="15" hidden="false" customHeight="false" outlineLevel="0" collapsed="false">
      <c r="A76" s="4" t="s">
        <v>210</v>
      </c>
      <c r="B76" s="17" t="s">
        <v>128</v>
      </c>
      <c r="H76" s="31" t="n">
        <v>0.064</v>
      </c>
      <c r="I76" s="31" t="n">
        <v>0.064</v>
      </c>
      <c r="J76" s="31" t="n">
        <v>0.064</v>
      </c>
      <c r="K76" s="31" t="n">
        <v>0.064</v>
      </c>
      <c r="L76" s="31" t="n">
        <v>0.064</v>
      </c>
      <c r="M76" s="17" t="s">
        <v>211</v>
      </c>
    </row>
    <row r="77" customFormat="false" ht="15" hidden="false" customHeight="false" outlineLevel="0" collapsed="false">
      <c r="A77" s="4" t="s">
        <v>212</v>
      </c>
      <c r="B77" s="17" t="s">
        <v>128</v>
      </c>
      <c r="H77" s="31" t="n">
        <v>0.21</v>
      </c>
      <c r="I77" s="31" t="n">
        <v>0.21</v>
      </c>
      <c r="J77" s="31" t="n">
        <v>0.21</v>
      </c>
      <c r="K77" s="31" t="n">
        <v>0.21</v>
      </c>
      <c r="L77" s="31" t="n">
        <v>0.21</v>
      </c>
      <c r="M77" s="17" t="s">
        <v>213</v>
      </c>
    </row>
    <row r="78" customFormat="false" ht="15" hidden="false" customHeight="false" outlineLevel="0" collapsed="false">
      <c r="A78" s="4" t="s">
        <v>214</v>
      </c>
      <c r="B78" s="17" t="s">
        <v>89</v>
      </c>
      <c r="H78" s="24" t="n">
        <v>70</v>
      </c>
      <c r="I78" s="24" t="n">
        <v>75</v>
      </c>
      <c r="J78" s="24" t="n">
        <v>75</v>
      </c>
      <c r="K78" s="24" t="n">
        <v>75</v>
      </c>
      <c r="L78" s="24" t="n">
        <v>75</v>
      </c>
      <c r="M78" s="17" t="s">
        <v>215</v>
      </c>
    </row>
    <row r="79" customFormat="false" ht="15" hidden="false" customHeight="false" outlineLevel="0" collapsed="false">
      <c r="A79" s="4" t="s">
        <v>216</v>
      </c>
      <c r="B79" s="17" t="s">
        <v>217</v>
      </c>
      <c r="H79" s="36" t="n">
        <v>1.12</v>
      </c>
      <c r="I79" s="36" t="n">
        <v>1.12</v>
      </c>
      <c r="J79" s="36" t="n">
        <v>1.12</v>
      </c>
      <c r="K79" s="36" t="n">
        <v>1.12</v>
      </c>
      <c r="L79" s="36" t="n">
        <v>1.12</v>
      </c>
      <c r="M79" s="17" t="s">
        <v>218</v>
      </c>
    </row>
    <row r="80" customFormat="false" ht="15" hidden="false" customHeight="false" outlineLevel="0" collapsed="false">
      <c r="A80" s="4" t="s">
        <v>219</v>
      </c>
      <c r="B80" s="17" t="s">
        <v>128</v>
      </c>
      <c r="H80" s="31" t="n">
        <v>0.225</v>
      </c>
      <c r="I80" s="31" t="n">
        <v>0.225</v>
      </c>
      <c r="J80" s="31" t="n">
        <v>0.225</v>
      </c>
      <c r="K80" s="31" t="n">
        <v>0.225</v>
      </c>
      <c r="L80" s="31" t="n">
        <v>0.225</v>
      </c>
      <c r="M80" s="17" t="s">
        <v>220</v>
      </c>
    </row>
    <row r="81" customFormat="false" ht="15" hidden="false" customHeight="false" outlineLevel="0" collapsed="false">
      <c r="A81" s="4" t="s">
        <v>221</v>
      </c>
      <c r="B81" s="17" t="s">
        <v>89</v>
      </c>
      <c r="H81" s="24" t="n">
        <v>132</v>
      </c>
      <c r="I81" s="24" t="n">
        <v>330</v>
      </c>
      <c r="J81" s="24" t="n">
        <v>300</v>
      </c>
      <c r="K81" s="24" t="n">
        <v>73.1</v>
      </c>
      <c r="L81" s="24" t="n">
        <v>0</v>
      </c>
      <c r="M81" s="17" t="s">
        <v>222</v>
      </c>
    </row>
    <row r="82" customFormat="false" ht="15" hidden="false" customHeight="false" outlineLevel="0" collapsed="false">
      <c r="A82" s="4" t="s">
        <v>223</v>
      </c>
      <c r="B82" s="17" t="s">
        <v>89</v>
      </c>
      <c r="H82" s="24" t="n">
        <v>0</v>
      </c>
      <c r="I82" s="24" t="n">
        <v>0</v>
      </c>
      <c r="J82" s="24" t="n">
        <v>0</v>
      </c>
      <c r="K82" s="24" t="n">
        <v>75</v>
      </c>
      <c r="L82" s="24" t="n">
        <v>150</v>
      </c>
      <c r="M82" s="17" t="s">
        <v>224</v>
      </c>
    </row>
    <row r="83" customFormat="false" ht="15" hidden="false" customHeight="false" outlineLevel="0" collapsed="false">
      <c r="A83" s="4" t="s">
        <v>225</v>
      </c>
      <c r="B83" s="17" t="s">
        <v>89</v>
      </c>
      <c r="H83" s="24" t="n">
        <v>30</v>
      </c>
      <c r="I83" s="24" t="n">
        <v>60</v>
      </c>
      <c r="J83" s="24" t="n">
        <v>60</v>
      </c>
      <c r="K83" s="24" t="n">
        <v>60</v>
      </c>
      <c r="L83" s="24" t="n">
        <v>60</v>
      </c>
      <c r="M83" s="17" t="s">
        <v>226</v>
      </c>
    </row>
    <row r="84" customFormat="false" ht="15" hidden="false" customHeight="false" outlineLevel="0" collapsed="false">
      <c r="A84" s="3" t="s">
        <v>227</v>
      </c>
    </row>
    <row r="85" customFormat="false" ht="15" hidden="false" customHeight="false" outlineLevel="0" collapsed="false">
      <c r="A85" s="4" t="s">
        <v>228</v>
      </c>
      <c r="B85" s="17" t="s">
        <v>229</v>
      </c>
      <c r="H85" s="37" t="n">
        <v>21</v>
      </c>
      <c r="I85" s="37" t="n">
        <v>21</v>
      </c>
      <c r="J85" s="37" t="n">
        <v>21</v>
      </c>
      <c r="K85" s="37" t="n">
        <v>21</v>
      </c>
      <c r="L85" s="37" t="n">
        <v>21</v>
      </c>
      <c r="M85" s="17" t="s">
        <v>230</v>
      </c>
    </row>
    <row r="86" customFormat="false" ht="15" hidden="false" customHeight="false" outlineLevel="0" collapsed="false">
      <c r="A86" s="4" t="s">
        <v>231</v>
      </c>
      <c r="B86" s="17" t="s">
        <v>229</v>
      </c>
      <c r="H86" s="37" t="n">
        <v>45</v>
      </c>
      <c r="I86" s="37" t="n">
        <v>45</v>
      </c>
      <c r="J86" s="37" t="n">
        <v>45</v>
      </c>
      <c r="K86" s="37" t="n">
        <v>45</v>
      </c>
      <c r="L86" s="37" t="n">
        <v>45</v>
      </c>
      <c r="M86" s="17" t="s">
        <v>232</v>
      </c>
    </row>
    <row r="87" customFormat="false" ht="15" hidden="false" customHeight="false" outlineLevel="0" collapsed="false">
      <c r="A87" s="4" t="s">
        <v>233</v>
      </c>
      <c r="B87" s="17" t="s">
        <v>128</v>
      </c>
      <c r="H87" s="31" t="n">
        <v>0.013</v>
      </c>
      <c r="I87" s="31" t="n">
        <v>0.013</v>
      </c>
      <c r="J87" s="31" t="n">
        <v>0.013</v>
      </c>
      <c r="K87" s="31" t="n">
        <v>0.013</v>
      </c>
      <c r="L87" s="31" t="n">
        <v>0.013</v>
      </c>
      <c r="M87" s="17" t="s">
        <v>234</v>
      </c>
    </row>
    <row r="88" customFormat="false" ht="15" hidden="false" customHeight="false" outlineLevel="0" collapsed="false">
      <c r="A88" s="4" t="s">
        <v>235</v>
      </c>
      <c r="B88" s="17" t="s">
        <v>229</v>
      </c>
      <c r="H88" s="37" t="n">
        <v>41</v>
      </c>
      <c r="I88" s="37" t="n">
        <v>41</v>
      </c>
      <c r="J88" s="37" t="n">
        <v>41</v>
      </c>
      <c r="K88" s="37" t="n">
        <v>41</v>
      </c>
      <c r="L88" s="37" t="n">
        <v>41</v>
      </c>
      <c r="M88" s="17" t="s">
        <v>236</v>
      </c>
    </row>
    <row r="89" customFormat="false" ht="15" hidden="false" customHeight="false" outlineLevel="0" collapsed="false">
      <c r="A89" s="4" t="s">
        <v>237</v>
      </c>
      <c r="B89" s="17" t="s">
        <v>128</v>
      </c>
      <c r="H89" s="31" t="n">
        <v>0.047</v>
      </c>
      <c r="I89" s="31" t="n">
        <v>0.047</v>
      </c>
      <c r="J89" s="31" t="n">
        <v>0.047</v>
      </c>
      <c r="K89" s="31" t="n">
        <v>0.047</v>
      </c>
      <c r="L89" s="31" t="n">
        <v>0.047</v>
      </c>
      <c r="M89" s="17" t="s">
        <v>238</v>
      </c>
    </row>
    <row r="90" customFormat="false" ht="15" hidden="false" customHeight="false" outlineLevel="0" collapsed="false">
      <c r="A90" s="4" t="s">
        <v>239</v>
      </c>
      <c r="B90" s="17" t="s">
        <v>128</v>
      </c>
      <c r="H90" s="31" t="n">
        <v>0.2</v>
      </c>
      <c r="I90" s="31" t="n">
        <v>0.2</v>
      </c>
      <c r="J90" s="31" t="n">
        <v>0.2</v>
      </c>
      <c r="K90" s="31" t="n">
        <v>0.2</v>
      </c>
      <c r="L90" s="31" t="n">
        <v>0.2</v>
      </c>
      <c r="M90" s="17" t="s">
        <v>240</v>
      </c>
    </row>
    <row r="91" customFormat="false" ht="15" hidden="false" customHeight="false" outlineLevel="0" collapsed="false">
      <c r="A91" s="3" t="s">
        <v>241</v>
      </c>
    </row>
    <row r="92" customFormat="false" ht="15" hidden="false" customHeight="false" outlineLevel="0" collapsed="false">
      <c r="A92" s="4" t="s">
        <v>242</v>
      </c>
      <c r="B92" s="17" t="s">
        <v>89</v>
      </c>
      <c r="H92" s="24" t="n">
        <v>650</v>
      </c>
      <c r="I92" s="24" t="n">
        <v>650</v>
      </c>
      <c r="J92" s="24" t="n">
        <v>650</v>
      </c>
      <c r="K92" s="24" t="n">
        <v>650</v>
      </c>
      <c r="L92" s="24" t="n">
        <v>650</v>
      </c>
      <c r="M92" s="17" t="s">
        <v>243</v>
      </c>
    </row>
    <row r="93" customFormat="false" ht="15" hidden="false" customHeight="false" outlineLevel="0" collapsed="false">
      <c r="A93" s="4" t="s">
        <v>244</v>
      </c>
      <c r="B93" s="17" t="s">
        <v>89</v>
      </c>
      <c r="H93" s="24" t="n">
        <v>75</v>
      </c>
      <c r="I93" s="24" t="n">
        <v>75</v>
      </c>
      <c r="J93" s="24" t="n">
        <v>75</v>
      </c>
      <c r="K93" s="24" t="n">
        <v>75</v>
      </c>
      <c r="L93" s="24" t="n">
        <v>75</v>
      </c>
      <c r="M93" s="17" t="s">
        <v>245</v>
      </c>
    </row>
    <row r="94" customFormat="false" ht="15" hidden="false" customHeight="false" outlineLevel="0" collapsed="false">
      <c r="A94" s="4" t="s">
        <v>246</v>
      </c>
      <c r="B94" s="17" t="s">
        <v>89</v>
      </c>
      <c r="H94" s="24" t="n">
        <v>30</v>
      </c>
      <c r="I94" s="24" t="n">
        <v>0</v>
      </c>
      <c r="J94" s="24" t="n">
        <v>0</v>
      </c>
      <c r="K94" s="24" t="n">
        <v>0</v>
      </c>
      <c r="L94" s="24" t="n">
        <v>0</v>
      </c>
      <c r="M94" s="17" t="s">
        <v>247</v>
      </c>
    </row>
    <row r="95" customFormat="false" ht="15" hidden="false" customHeight="false" outlineLevel="0" collapsed="false">
      <c r="A95" s="4" t="s">
        <v>248</v>
      </c>
      <c r="B95" s="17" t="s">
        <v>89</v>
      </c>
      <c r="H95" s="24" t="n">
        <v>0</v>
      </c>
      <c r="I95" s="24" t="n">
        <v>0</v>
      </c>
      <c r="J95" s="24" t="n">
        <v>0</v>
      </c>
      <c r="K95" s="24" t="n">
        <v>0</v>
      </c>
      <c r="L95" s="24" t="n">
        <v>0</v>
      </c>
      <c r="M95" s="17" t="s">
        <v>249</v>
      </c>
    </row>
    <row r="96" customFormat="false" ht="15" hidden="false" customHeight="false" outlineLevel="0" collapsed="false">
      <c r="A96" s="4" t="s">
        <v>250</v>
      </c>
      <c r="B96" s="17" t="s">
        <v>89</v>
      </c>
      <c r="H96" s="24" t="n">
        <v>5</v>
      </c>
      <c r="I96" s="24" t="n">
        <v>5</v>
      </c>
      <c r="J96" s="24" t="n">
        <v>5</v>
      </c>
      <c r="K96" s="24" t="n">
        <v>5</v>
      </c>
      <c r="L96" s="24" t="n">
        <v>5</v>
      </c>
      <c r="M96" s="17" t="s">
        <v>251</v>
      </c>
    </row>
    <row r="97" customFormat="false" ht="15" hidden="false" customHeight="false" outlineLevel="0" collapsed="false">
      <c r="A97" s="4" t="s">
        <v>252</v>
      </c>
      <c r="B97" s="17" t="s">
        <v>128</v>
      </c>
      <c r="H97" s="31" t="n">
        <v>0.3</v>
      </c>
      <c r="I97" s="31" t="n">
        <v>0.3</v>
      </c>
      <c r="J97" s="31" t="n">
        <v>0.3</v>
      </c>
      <c r="K97" s="31" t="n">
        <v>0.3</v>
      </c>
      <c r="L97" s="31" t="n">
        <v>0.3</v>
      </c>
      <c r="M97" s="17" t="s">
        <v>253</v>
      </c>
    </row>
    <row r="98" customFormat="false" ht="15" hidden="false" customHeight="false" outlineLevel="0" collapsed="false">
      <c r="A98" s="4" t="s">
        <v>254</v>
      </c>
      <c r="B98" s="17" t="s">
        <v>128</v>
      </c>
      <c r="I98" s="31" t="n">
        <v>0.55</v>
      </c>
      <c r="J98" s="31" t="n">
        <v>0.55</v>
      </c>
      <c r="K98" s="31" t="n">
        <v>0.55</v>
      </c>
      <c r="L98" s="31" t="n">
        <v>0.55</v>
      </c>
      <c r="M98" s="17" t="s">
        <v>255</v>
      </c>
    </row>
    <row r="99" customFormat="false" ht="15" hidden="false" customHeight="false" outlineLevel="0" collapsed="false">
      <c r="A99" s="4" t="s">
        <v>256</v>
      </c>
      <c r="B99" s="17" t="s">
        <v>81</v>
      </c>
      <c r="H99" s="24" t="n">
        <v>2672</v>
      </c>
      <c r="I99" s="24" t="n">
        <v>2680</v>
      </c>
      <c r="J99" s="24" t="n">
        <v>2688</v>
      </c>
      <c r="K99" s="24" t="n">
        <v>2696</v>
      </c>
      <c r="L99" s="24" t="n">
        <v>2704</v>
      </c>
      <c r="M99" s="17" t="s">
        <v>257</v>
      </c>
    </row>
    <row r="100" customFormat="false" ht="15" hidden="false" customHeight="false" outlineLevel="0" collapsed="false">
      <c r="A100" s="4" t="s">
        <v>258</v>
      </c>
      <c r="B100" s="17" t="s">
        <v>81</v>
      </c>
      <c r="H100" s="24" t="n">
        <v>34</v>
      </c>
      <c r="I100" s="24" t="n">
        <v>34</v>
      </c>
      <c r="J100" s="24" t="n">
        <v>34</v>
      </c>
      <c r="K100" s="24" t="n">
        <v>34</v>
      </c>
      <c r="L100" s="24" t="n">
        <v>34</v>
      </c>
      <c r="M100" s="17" t="s">
        <v>259</v>
      </c>
    </row>
    <row r="102" customFormat="false" ht="15" hidden="false" customHeight="false" outlineLevel="0" collapsed="false">
      <c r="A102" s="3" t="s">
        <v>260</v>
      </c>
    </row>
    <row r="103" customFormat="false" ht="15" hidden="false" customHeight="false" outlineLevel="0" collapsed="false">
      <c r="A103" s="18" t="s">
        <v>261</v>
      </c>
      <c r="C103" s="18" t="s">
        <v>262</v>
      </c>
      <c r="D103" s="18" t="s">
        <v>263</v>
      </c>
      <c r="E103" s="18" t="s">
        <v>264</v>
      </c>
      <c r="F103" s="18" t="s">
        <v>265</v>
      </c>
      <c r="G103" s="18" t="s">
        <v>266</v>
      </c>
    </row>
    <row r="104" customFormat="false" ht="15" hidden="false" customHeight="false" outlineLevel="0" collapsed="false">
      <c r="A104" s="4" t="s">
        <v>267</v>
      </c>
      <c r="C104" s="24" t="n">
        <v>3953.5736708755</v>
      </c>
      <c r="D104" s="24" t="n">
        <v>3894.3314491705</v>
      </c>
      <c r="E104" s="24" t="n">
        <v>3818.746069643</v>
      </c>
      <c r="F104" s="38" t="n">
        <f aca="false">'Income Statement'!H9</f>
        <v>3894.3314491705</v>
      </c>
      <c r="G104" s="39" t="b">
        <f aca="false">ABS(F104-INDEX(C104:E104,1,$C$3))&lt;0.005*MAX(1,ABS(F104))</f>
        <v>1</v>
      </c>
    </row>
    <row r="105" customFormat="false" ht="15" hidden="false" customHeight="false" outlineLevel="0" collapsed="false">
      <c r="A105" s="4" t="s">
        <v>268</v>
      </c>
      <c r="C105" s="24" t="n">
        <v>4129.02202325168</v>
      </c>
      <c r="D105" s="24" t="n">
        <v>3726.74824806612</v>
      </c>
      <c r="E105" s="24" t="n">
        <v>3189.69576242869</v>
      </c>
      <c r="F105" s="38" t="n">
        <f aca="false">'Income Statement'!I9</f>
        <v>3726.74824806612</v>
      </c>
      <c r="G105" s="39" t="b">
        <f aca="false">ABS(F105-INDEX(C105:E105,1,$C$3))&lt;0.005*MAX(1,ABS(F105))</f>
        <v>1</v>
      </c>
    </row>
    <row r="106" customFormat="false" ht="15" hidden="false" customHeight="false" outlineLevel="0" collapsed="false">
      <c r="A106" s="4" t="s">
        <v>269</v>
      </c>
      <c r="C106" s="24" t="n">
        <v>4385.71429964679</v>
      </c>
      <c r="D106" s="24" t="n">
        <v>3739.92145911196</v>
      </c>
      <c r="E106" s="24" t="n">
        <v>3051.46329903743</v>
      </c>
      <c r="F106" s="38" t="n">
        <f aca="false">'Income Statement'!J9</f>
        <v>3739.92145911196</v>
      </c>
      <c r="G106" s="39" t="b">
        <f aca="false">ABS(F106-INDEX(C106:E106,1,$C$3))&lt;0.005*MAX(1,ABS(F106))</f>
        <v>1</v>
      </c>
    </row>
    <row r="107" customFormat="false" ht="15" hidden="false" customHeight="false" outlineLevel="0" collapsed="false">
      <c r="A107" s="4" t="s">
        <v>270</v>
      </c>
      <c r="C107" s="24" t="n">
        <v>4938.04386943007</v>
      </c>
      <c r="D107" s="24" t="n">
        <v>4067.85595879273</v>
      </c>
      <c r="E107" s="24" t="n">
        <v>3293.229302761</v>
      </c>
      <c r="F107" s="38" t="n">
        <f aca="false">'Income Statement'!L9</f>
        <v>4067.85595879273</v>
      </c>
      <c r="G107" s="39" t="b">
        <f aca="false">ABS(F107-INDEX(C107:E107,1,$C$3))&lt;0.005*MAX(1,ABS(F107))</f>
        <v>1</v>
      </c>
    </row>
    <row r="108" customFormat="false" ht="15" hidden="false" customHeight="false" outlineLevel="0" collapsed="false">
      <c r="A108" s="4" t="s">
        <v>271</v>
      </c>
      <c r="C108" s="31" t="n">
        <v>0.0767581584097996</v>
      </c>
      <c r="D108" s="31" t="n">
        <v>0.0358104674885547</v>
      </c>
      <c r="E108" s="31" t="n">
        <v>-0.00704040570791764</v>
      </c>
      <c r="F108" s="40" t="n">
        <f aca="false">('Income Statement'!L9/'Income Statement'!G9)^(1/5)-1</f>
        <v>0.0358104674885547</v>
      </c>
      <c r="G108" s="39" t="b">
        <f aca="false">ABS(F108-INDEX(C108:E108,1,$C$3))&lt;0.005*MAX(1,ABS(F108))</f>
        <v>1</v>
      </c>
    </row>
    <row r="109" customFormat="false" ht="15" hidden="false" customHeight="false" outlineLevel="0" collapsed="false">
      <c r="A109" s="4" t="s">
        <v>272</v>
      </c>
      <c r="C109" s="24" t="n">
        <v>813.335328223405</v>
      </c>
      <c r="D109" s="24" t="n">
        <v>710.743472165121</v>
      </c>
      <c r="E109" s="24" t="n">
        <v>604.635639583321</v>
      </c>
      <c r="F109" s="38" t="n">
        <f aca="false">'Revenue Model'!J15</f>
        <v>710.743472165121</v>
      </c>
      <c r="G109" s="39" t="b">
        <f aca="false">ABS(F109-INDEX(C109:E109,1,$C$3))&lt;0.005*MAX(1,ABS(F109))</f>
        <v>1</v>
      </c>
    </row>
    <row r="110" customFormat="false" ht="15" hidden="false" customHeight="false" outlineLevel="0" collapsed="false">
      <c r="A110" s="4" t="s">
        <v>273</v>
      </c>
      <c r="C110" s="31" t="n">
        <v>0.400098513152277</v>
      </c>
      <c r="D110" s="31" t="n">
        <v>0.31996845291824</v>
      </c>
      <c r="E110" s="31" t="n">
        <v>0.206427288212577</v>
      </c>
      <c r="F110" s="41" t="n">
        <f aca="false">'Income Statement'!J19</f>
        <v>0.31996845291824</v>
      </c>
      <c r="G110" s="39" t="b">
        <f aca="false">ABS(F110-INDEX(C110:E110,1,$C$3))&lt;0.005*MAX(1,ABS(F110))</f>
        <v>1</v>
      </c>
    </row>
    <row r="111" customFormat="false" ht="15" hidden="false" customHeight="false" outlineLevel="0" collapsed="false">
      <c r="A111" s="4" t="s">
        <v>274</v>
      </c>
      <c r="C111" s="24" t="n">
        <v>1776.1778681472</v>
      </c>
      <c r="D111" s="24" t="n">
        <v>1218.11698105562</v>
      </c>
      <c r="E111" s="24" t="n">
        <v>651.365391648341</v>
      </c>
      <c r="F111" s="38" t="n">
        <f aca="false">'Income Statement'!J39</f>
        <v>1218.11698105562</v>
      </c>
      <c r="G111" s="39" t="b">
        <f aca="false">ABS(F111-INDEX(C111:E111,1,$C$3))&lt;0.005*MAX(1,ABS(F111))</f>
        <v>1</v>
      </c>
    </row>
    <row r="112" customFormat="false" ht="15" hidden="false" customHeight="false" outlineLevel="0" collapsed="false">
      <c r="A112" s="4" t="s">
        <v>275</v>
      </c>
      <c r="C112" s="31" t="n">
        <v>0.413457383161763</v>
      </c>
      <c r="D112" s="31" t="n">
        <v>0.321785611090125</v>
      </c>
      <c r="E112" s="31" t="n">
        <v>0.213795362856941</v>
      </c>
      <c r="F112" s="41" t="n">
        <f aca="false">'Income Statement'!L40</f>
        <v>0.321785611090125</v>
      </c>
      <c r="G112" s="39" t="b">
        <f aca="false">ABS(F112-INDEX(C112:E112,1,$C$3))&lt;0.005*MAX(1,ABS(F112))</f>
        <v>1</v>
      </c>
    </row>
    <row r="113" customFormat="false" ht="15" hidden="false" customHeight="false" outlineLevel="0" collapsed="false">
      <c r="A113" s="4" t="s">
        <v>276</v>
      </c>
      <c r="C113" s="24" t="n">
        <v>1513.82203205716</v>
      </c>
      <c r="D113" s="24" t="n">
        <v>1472.39160179514</v>
      </c>
      <c r="E113" s="24" t="n">
        <v>1416.50560552377</v>
      </c>
      <c r="F113" s="38" t="n">
        <f aca="false">'Income Statement'!H52</f>
        <v>1472.39160179514</v>
      </c>
      <c r="G113" s="39" t="b">
        <f aca="false">ABS(F113-INDEX(C113:E113,1,$C$3))&lt;0.005*MAX(1,ABS(F113))</f>
        <v>1</v>
      </c>
    </row>
    <row r="114" customFormat="false" ht="15" hidden="false" customHeight="false" outlineLevel="0" collapsed="false">
      <c r="A114" s="4" t="s">
        <v>277</v>
      </c>
      <c r="C114" s="24" t="n">
        <v>1520.10089832478</v>
      </c>
      <c r="D114" s="24" t="n">
        <v>1184.02427713588</v>
      </c>
      <c r="E114" s="24" t="n">
        <v>734.549007750425</v>
      </c>
      <c r="F114" s="38" t="n">
        <f aca="false">'Income Statement'!I52</f>
        <v>1184.02427713588</v>
      </c>
      <c r="G114" s="39" t="b">
        <f aca="false">ABS(F114-INDEX(C114:E114,1,$C$3))&lt;0.005*MAX(1,ABS(F114))</f>
        <v>1</v>
      </c>
    </row>
    <row r="115" customFormat="false" ht="15" hidden="false" customHeight="false" outlineLevel="0" collapsed="false">
      <c r="A115" s="4" t="s">
        <v>278</v>
      </c>
      <c r="C115" s="24" t="n">
        <v>1595.6551766777</v>
      </c>
      <c r="D115" s="24" t="n">
        <v>1049.38555978665</v>
      </c>
      <c r="E115" s="24" t="n">
        <v>490.386468144237</v>
      </c>
      <c r="F115" s="38" t="n">
        <f aca="false">'Income Statement'!J52</f>
        <v>1049.38555978665</v>
      </c>
      <c r="G115" s="39" t="b">
        <f aca="false">ABS(F115-INDEX(C115:E115,1,$C$3))&lt;0.005*MAX(1,ABS(F115))</f>
        <v>1</v>
      </c>
    </row>
    <row r="116" customFormat="false" ht="15" hidden="false" customHeight="false" outlineLevel="0" collapsed="false">
      <c r="A116" s="4" t="s">
        <v>279</v>
      </c>
      <c r="C116" s="24" t="n">
        <v>1841.9281460284</v>
      </c>
      <c r="D116" s="24" t="n">
        <v>1124.31642516205</v>
      </c>
      <c r="E116" s="24" t="n">
        <v>522.288797462016</v>
      </c>
      <c r="F116" s="38" t="n">
        <f aca="false">'Income Statement'!L52</f>
        <v>1124.31642516205</v>
      </c>
      <c r="G116" s="39" t="b">
        <f aca="false">ABS(F116-INDEX(C116:E116,1,$C$3))&lt;0.005*MAX(1,ABS(F116))</f>
        <v>1</v>
      </c>
    </row>
    <row r="117" customFormat="false" ht="15" hidden="false" customHeight="false" outlineLevel="0" collapsed="false">
      <c r="A117" s="4" t="s">
        <v>280</v>
      </c>
      <c r="C117" s="21" t="n">
        <v>4.3866713599297</v>
      </c>
      <c r="D117" s="21" t="n">
        <v>4.26661650670963</v>
      </c>
      <c r="E117" s="21" t="n">
        <v>4.10467309851941</v>
      </c>
      <c r="F117" s="42" t="n">
        <f aca="false">'Income Statement'!H59</f>
        <v>4.26661650670963</v>
      </c>
      <c r="G117" s="39" t="b">
        <f aca="false">ABS(F117-INDEX(C117:E117,1,$C$3))&lt;0.005*MAX(1,ABS(F117))</f>
        <v>1</v>
      </c>
    </row>
    <row r="118" customFormat="false" ht="15" hidden="false" customHeight="false" outlineLevel="0" collapsed="false">
      <c r="A118" s="4" t="s">
        <v>281</v>
      </c>
      <c r="C118" s="21" t="n">
        <v>4.39188178851663</v>
      </c>
      <c r="D118" s="21" t="n">
        <v>3.4208878276734</v>
      </c>
      <c r="E118" s="21" t="n">
        <v>2.12226202449278</v>
      </c>
      <c r="F118" s="42" t="n">
        <f aca="false">'Income Statement'!I59</f>
        <v>3.4208878276734</v>
      </c>
      <c r="G118" s="39" t="b">
        <f aca="false">ABS(F118-INDEX(C118:E118,1,$C$3))&lt;0.005*MAX(1,ABS(F118))</f>
        <v>1</v>
      </c>
    </row>
    <row r="119" customFormat="false" ht="15" hidden="false" customHeight="false" outlineLevel="0" collapsed="false">
      <c r="A119" s="4" t="s">
        <v>282</v>
      </c>
      <c r="C119" s="21" t="n">
        <v>4.59662415021413</v>
      </c>
      <c r="D119" s="21" t="n">
        <v>3.02297832107092</v>
      </c>
      <c r="E119" s="21" t="n">
        <v>1.41266253220404</v>
      </c>
      <c r="F119" s="42" t="n">
        <f aca="false">'Income Statement'!J59</f>
        <v>3.02297832107092</v>
      </c>
      <c r="G119" s="39" t="b">
        <f aca="false">ABS(F119-INDEX(C119:E119,1,$C$3))&lt;0.005*MAX(1,ABS(F119))</f>
        <v>1</v>
      </c>
    </row>
    <row r="120" customFormat="false" ht="15" hidden="false" customHeight="false" outlineLevel="0" collapsed="false">
      <c r="A120" s="4" t="s">
        <v>283</v>
      </c>
      <c r="C120" s="21" t="n">
        <v>3.95629679457987</v>
      </c>
      <c r="D120" s="21" t="n">
        <v>2.73920498449941</v>
      </c>
      <c r="E120" s="21" t="n">
        <v>1.48693764094448</v>
      </c>
      <c r="F120" s="42" t="n">
        <f aca="false">'Income Statement'!I60</f>
        <v>2.73920498449941</v>
      </c>
      <c r="G120" s="39" t="b">
        <f aca="false">ABS(F120-INDEX(C120:E120,1,$C$3))&lt;0.005*MAX(1,ABS(F120))</f>
        <v>1</v>
      </c>
    </row>
    <row r="121" customFormat="false" ht="15" hidden="false" customHeight="false" outlineLevel="0" collapsed="false">
      <c r="A121" s="4" t="s">
        <v>284</v>
      </c>
      <c r="C121" s="24" t="n">
        <v>1816.43154472522</v>
      </c>
      <c r="D121" s="24" t="n">
        <v>1094.70655549667</v>
      </c>
      <c r="E121" s="24" t="n">
        <v>488.072592913576</v>
      </c>
      <c r="F121" s="38" t="n">
        <f aca="false">'Cash Flow'!L53</f>
        <v>1094.70655549667</v>
      </c>
      <c r="G121" s="39" t="b">
        <f aca="false">ABS(F121-INDEX(C121:E121,1,$C$3))&lt;0.005*MAX(1,ABS(F121))</f>
        <v>1</v>
      </c>
    </row>
    <row r="122" customFormat="false" ht="15" hidden="false" customHeight="false" outlineLevel="0" collapsed="false">
      <c r="A122" s="4" t="s">
        <v>285</v>
      </c>
      <c r="C122" s="24" t="n">
        <v>7667.17812884488</v>
      </c>
      <c r="D122" s="24" t="n">
        <v>5384.36506907699</v>
      </c>
      <c r="E122" s="24" t="n">
        <v>3111.05341965836</v>
      </c>
      <c r="F122" s="43" t="n">
        <f aca="false">SUM('Cash Flow'!H53:L53)</f>
        <v>5384.36506907699</v>
      </c>
      <c r="G122" s="39" t="b">
        <f aca="false">ABS(F122-INDEX(C122:E122,1,$C$3))&lt;0.005*MAX(1,ABS(F122))</f>
        <v>1</v>
      </c>
    </row>
    <row r="123" customFormat="false" ht="15" hidden="false" customHeight="false" outlineLevel="0" collapsed="false">
      <c r="A123" s="4" t="s">
        <v>286</v>
      </c>
      <c r="C123" s="24" t="n">
        <v>1364.77447852283</v>
      </c>
      <c r="D123" s="24" t="n">
        <v>1307.96631050608</v>
      </c>
      <c r="E123" s="24" t="n">
        <v>902.71152039424</v>
      </c>
      <c r="F123" s="38" t="n">
        <f aca="false">'Balance Sheet'!L53</f>
        <v>1307.96631050608</v>
      </c>
      <c r="G123" s="39" t="b">
        <f aca="false">ABS(F123-INDEX(C123:E123,1,$C$3))&lt;0.005*MAX(1,ABS(F123))</f>
        <v>1</v>
      </c>
    </row>
    <row r="124" customFormat="false" ht="15" hidden="false" customHeight="false" outlineLevel="0" collapsed="false">
      <c r="A124" s="4" t="s">
        <v>287</v>
      </c>
      <c r="C124" s="31" t="n">
        <v>0.498941349153838</v>
      </c>
      <c r="D124" s="31" t="n">
        <v>0.333288313811137</v>
      </c>
      <c r="E124" s="31" t="n">
        <v>0.166001023785004</v>
      </c>
      <c r="F124" s="41" t="n">
        <f aca="false">'Balance Sheet'!J55</f>
        <v>0.333288313811137</v>
      </c>
      <c r="G124" s="39" t="b">
        <f aca="false">ABS(F124-INDEX(C124:E124,1,$C$3))&lt;0.005*MAX(1,ABS(F124))</f>
        <v>1</v>
      </c>
    </row>
    <row r="125" customFormat="false" ht="15" hidden="false" customHeight="false" outlineLevel="0" collapsed="false">
      <c r="A125" s="4" t="s">
        <v>13</v>
      </c>
      <c r="C125" s="21" t="n">
        <v>59.4020455631703</v>
      </c>
      <c r="D125" s="21" t="n">
        <v>36.2218024309965</v>
      </c>
      <c r="E125" s="21" t="n">
        <v>16.1049435006338</v>
      </c>
      <c r="F125" s="42" t="n">
        <f aca="false">DCF!$C$53</f>
        <v>36.2218024309965</v>
      </c>
      <c r="G125" s="39" t="b">
        <f aca="false">ABS(F125-INDEX(C125:E125,1,$C$3))&lt;0.005*MAX(1,ABS(F125))</f>
        <v>1</v>
      </c>
    </row>
    <row r="126" customFormat="false" ht="15" hidden="false" customHeight="false" outlineLevel="0" collapsed="false">
      <c r="A126" s="4" t="s">
        <v>288</v>
      </c>
      <c r="C126" s="31" t="n">
        <v>-0.297943375579381</v>
      </c>
      <c r="D126" s="31" t="n">
        <v>0.420729192052567</v>
      </c>
      <c r="E126" s="31" t="n">
        <v>3.02768949060699</v>
      </c>
      <c r="F126" s="41" t="n">
        <f aca="false">DCF!$C$64</f>
        <v>0.420729192052567</v>
      </c>
      <c r="G126" s="39" t="b">
        <f aca="false">ABS(F126-INDEX(C126:E126,1,$C$3))&lt;0.005*MAX(1,ABS(F126))</f>
        <v>1</v>
      </c>
    </row>
    <row r="128" customFormat="false" ht="15" hidden="false" customHeight="false" outlineLevel="0" collapsed="false">
      <c r="A128" s="13" t="s">
        <v>289</v>
      </c>
      <c r="G128" s="44" t="b">
        <f aca="false">AND(G104:G126)</f>
        <v>1</v>
      </c>
    </row>
    <row r="129" customFormat="false" ht="15" hidden="false" customHeight="false" outlineLevel="0" collapsed="false">
      <c r="A129" s="17" t="s">
        <v>290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14" min="2" style="0" width="10"/>
    <col collapsed="false" customWidth="true" hidden="false" outlineLevel="0" max="15" min="15" style="0" width="60"/>
  </cols>
  <sheetData>
    <row r="1" customFormat="false" ht="15" hidden="false" customHeight="false" outlineLevel="0" collapsed="false">
      <c r="A1" s="16" t="s">
        <v>291</v>
      </c>
    </row>
    <row r="2" customFormat="false" ht="15" hidden="false" customHeight="false" outlineLevel="0" collapsed="false">
      <c r="A2" s="17" t="s">
        <v>292</v>
      </c>
    </row>
    <row r="4" customFormat="false" ht="15" hidden="false" customHeight="false" outlineLevel="0" collapsed="false">
      <c r="A4" s="18" t="s">
        <v>293</v>
      </c>
      <c r="B4" s="45" t="s">
        <v>63</v>
      </c>
      <c r="C4" s="45" t="s">
        <v>294</v>
      </c>
      <c r="D4" s="45" t="s">
        <v>295</v>
      </c>
      <c r="E4" s="45" t="s">
        <v>119</v>
      </c>
      <c r="F4" s="45" t="s">
        <v>296</v>
      </c>
      <c r="G4" s="45" t="s">
        <v>297</v>
      </c>
      <c r="H4" s="45" t="s">
        <v>120</v>
      </c>
      <c r="I4" s="45" t="s">
        <v>298</v>
      </c>
      <c r="J4" s="45" t="s">
        <v>299</v>
      </c>
      <c r="K4" s="45" t="s">
        <v>300</v>
      </c>
      <c r="L4" s="45" t="s">
        <v>301</v>
      </c>
      <c r="M4" s="45" t="s">
        <v>302</v>
      </c>
      <c r="N4" s="45" t="s">
        <v>303</v>
      </c>
      <c r="O4" s="18" t="s">
        <v>304</v>
      </c>
    </row>
    <row r="5" customFormat="false" ht="15" hidden="false" customHeight="false" outlineLevel="0" collapsed="false">
      <c r="A5" s="19" t="s">
        <v>305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</row>
    <row r="6" customFormat="false" ht="15" hidden="false" customHeight="false" outlineLevel="0" collapsed="false">
      <c r="A6" s="4" t="s">
        <v>306</v>
      </c>
      <c r="B6" s="17" t="s">
        <v>101</v>
      </c>
      <c r="C6" s="24" t="n">
        <v>1829.665</v>
      </c>
      <c r="D6" s="25" t="n">
        <f aca="false">E6-C6</f>
        <v>2017.874</v>
      </c>
      <c r="E6" s="10" t="n">
        <f aca="false">'Revenue Model'!G12</f>
        <v>3847.539</v>
      </c>
      <c r="F6" s="24" t="n">
        <v>1971.942</v>
      </c>
      <c r="G6" s="43" t="n">
        <f aca="false">H6-F6</f>
        <v>2081.7778</v>
      </c>
      <c r="H6" s="43" t="n">
        <f aca="false">J6+L6</f>
        <v>4053.7198</v>
      </c>
      <c r="I6" s="24" t="n">
        <v>2749.844</v>
      </c>
      <c r="J6" s="24" t="n">
        <v>2912.117</v>
      </c>
      <c r="K6" s="25" t="n">
        <f aca="false">E6-I6</f>
        <v>1097.695</v>
      </c>
      <c r="L6" s="43" t="n">
        <f aca="false">K6*(1+Scenarios!H10)</f>
        <v>1141.6028</v>
      </c>
      <c r="M6" s="25" t="n">
        <f aca="false">I6-C6</f>
        <v>920.179</v>
      </c>
      <c r="N6" s="25" t="n">
        <f aca="false">J6-F6</f>
        <v>940.175</v>
      </c>
      <c r="O6" s="17" t="s">
        <v>307</v>
      </c>
    </row>
    <row r="7" customFormat="false" ht="15" hidden="false" customHeight="false" outlineLevel="0" collapsed="false">
      <c r="A7" s="4" t="s">
        <v>308</v>
      </c>
      <c r="B7" s="17" t="s">
        <v>128</v>
      </c>
      <c r="F7" s="9" t="n">
        <f aca="false">F6/C6-1</f>
        <v>0.0777612295146926</v>
      </c>
      <c r="G7" s="40" t="n">
        <f aca="false">G6/D6-1</f>
        <v>0.0316688752617855</v>
      </c>
      <c r="H7" s="40" t="n">
        <f aca="false">H6/E6-1</f>
        <v>0.0535877089225088</v>
      </c>
      <c r="J7" s="9" t="n">
        <f aca="false">J6/I6-1</f>
        <v>0.0590117112097996</v>
      </c>
      <c r="L7" s="40" t="n">
        <f aca="false">L6/K6-1</f>
        <v>0.04</v>
      </c>
      <c r="N7" s="9" t="n">
        <f aca="false">N6/M6-1</f>
        <v>0.0217305545986162</v>
      </c>
    </row>
    <row r="8" customFormat="false" ht="15" hidden="false" customHeight="false" outlineLevel="0" collapsed="false">
      <c r="A8" s="4" t="s">
        <v>309</v>
      </c>
      <c r="B8" s="17" t="s">
        <v>105</v>
      </c>
      <c r="C8" s="24" t="n">
        <v>776.4</v>
      </c>
      <c r="D8" s="25" t="n">
        <f aca="false">(E8*E6-C8*C6)/D6</f>
        <v>732.354558659262</v>
      </c>
      <c r="E8" s="10" t="n">
        <f aca="false">'Revenue Model'!G15</f>
        <v>753.3</v>
      </c>
      <c r="F8" s="24" t="n">
        <v>807.2</v>
      </c>
      <c r="G8" s="43" t="n">
        <f aca="false">(H8*H6-F8*F6)/G6</f>
        <v>854.087412162816</v>
      </c>
      <c r="H8" s="43" t="n">
        <f aca="false">(J8*J6+L8*L6)/H6</f>
        <v>831.278914813007</v>
      </c>
      <c r="I8" s="24" t="n">
        <v>754.9</v>
      </c>
      <c r="J8" s="24" t="n">
        <v>825.9</v>
      </c>
      <c r="K8" s="25" t="n">
        <f aca="false">(E8*E6-I8*I6)/K6</f>
        <v>749.291827966785</v>
      </c>
      <c r="L8" s="38" t="n">
        <f aca="false">Scenarios!H15</f>
        <v>845</v>
      </c>
      <c r="M8" s="25" t="n">
        <f aca="false">(I8*I6-C8*C6)/M6</f>
        <v>712.149842150277</v>
      </c>
      <c r="N8" s="25" t="n">
        <f aca="false">(J8*J6-F8*F6)/N6</f>
        <v>865.121757013322</v>
      </c>
      <c r="O8" s="17" t="s">
        <v>310</v>
      </c>
    </row>
    <row r="9" customFormat="false" ht="15" hidden="false" customHeight="false" outlineLevel="0" collapsed="false">
      <c r="A9" s="4" t="s">
        <v>311</v>
      </c>
      <c r="B9" s="17" t="s">
        <v>128</v>
      </c>
      <c r="F9" s="9" t="n">
        <f aca="false">F8/C8-1</f>
        <v>0.0396702730551264</v>
      </c>
      <c r="G9" s="40" t="n">
        <f aca="false">G8/D8-1</f>
        <v>0.166221199914988</v>
      </c>
      <c r="H9" s="40" t="n">
        <f aca="false">H8/E8-1</f>
        <v>0.103516414194885</v>
      </c>
      <c r="J9" s="9" t="n">
        <f aca="false">J8/I8-1</f>
        <v>0.0940521923433568</v>
      </c>
      <c r="L9" s="40" t="n">
        <f aca="false">L8/K8-1</f>
        <v>0.127731503882701</v>
      </c>
      <c r="N9" s="9" t="n">
        <f aca="false">N8/M8-1</f>
        <v>0.214802989215245</v>
      </c>
    </row>
    <row r="10" customFormat="false" ht="15" hidden="false" customHeight="false" outlineLevel="0" collapsed="false">
      <c r="A10" s="4" t="s">
        <v>155</v>
      </c>
      <c r="B10" s="17" t="s">
        <v>89</v>
      </c>
      <c r="C10" s="25" t="n">
        <f aca="false">C18</f>
        <v>1664.489</v>
      </c>
      <c r="D10" s="25" t="n">
        <f aca="false">D18</f>
        <v>1747.158</v>
      </c>
      <c r="E10" s="25" t="n">
        <f aca="false">E18</f>
        <v>3411.647</v>
      </c>
      <c r="F10" s="25" t="n">
        <f aca="false">F18</f>
        <v>1842.065</v>
      </c>
      <c r="G10" s="43" t="n">
        <f aca="false">G18</f>
        <v>2052.2664491705</v>
      </c>
      <c r="H10" s="43" t="n">
        <f aca="false">H18</f>
        <v>3894.3314491705</v>
      </c>
      <c r="I10" s="24" t="n">
        <v>2458.9</v>
      </c>
      <c r="J10" s="24" t="n">
        <v>2808.1</v>
      </c>
      <c r="K10" s="25" t="n">
        <f aca="false">E10-I10</f>
        <v>952.747</v>
      </c>
      <c r="L10" s="43" t="n">
        <f aca="false">H10-J10</f>
        <v>1086.2314491705</v>
      </c>
      <c r="M10" s="25" t="n">
        <f aca="false">I10-C10</f>
        <v>794.411</v>
      </c>
      <c r="N10" s="25" t="n">
        <f aca="false">J10-F10</f>
        <v>966.035</v>
      </c>
      <c r="O10" s="17" t="s">
        <v>312</v>
      </c>
    </row>
    <row r="11" customFormat="false" ht="15" hidden="false" customHeight="false" outlineLevel="0" collapsed="false">
      <c r="A11" s="4" t="s">
        <v>313</v>
      </c>
      <c r="B11" s="17" t="s">
        <v>128</v>
      </c>
      <c r="F11" s="9" t="n">
        <f aca="false">F10/C10-1</f>
        <v>0.106684994613963</v>
      </c>
      <c r="G11" s="40" t="n">
        <f aca="false">G10/D10-1</f>
        <v>0.17463128644948</v>
      </c>
      <c r="H11" s="40" t="n">
        <f aca="false">H10/E10-1</f>
        <v>0.141481357587846</v>
      </c>
      <c r="J11" s="9" t="n">
        <f aca="false">J10/I10-1</f>
        <v>0.142014722030176</v>
      </c>
      <c r="L11" s="40" t="n">
        <f aca="false">L10/K10-1</f>
        <v>0.140104822340559</v>
      </c>
      <c r="N11" s="9" t="n">
        <f aca="false">N10/M10-1</f>
        <v>0.216039304591704</v>
      </c>
    </row>
    <row r="12" customFormat="false" ht="15" hidden="false" customHeight="false" outlineLevel="0" collapsed="false">
      <c r="A12" s="4" t="s">
        <v>314</v>
      </c>
      <c r="B12" s="17" t="s">
        <v>105</v>
      </c>
      <c r="C12" s="25" t="n">
        <f aca="false">C10/C6*1000</f>
        <v>909.723364659651</v>
      </c>
      <c r="D12" s="25" t="n">
        <f aca="false">D10/D6*1000</f>
        <v>865.840979169165</v>
      </c>
      <c r="E12" s="25" t="n">
        <f aca="false">E10/E6*1000</f>
        <v>886.708880663718</v>
      </c>
      <c r="F12" s="25" t="n">
        <f aca="false">F10/F6*1000</f>
        <v>934.137515200751</v>
      </c>
      <c r="G12" s="43" t="n">
        <f aca="false">G10/G6*1000</f>
        <v>985.823966981731</v>
      </c>
      <c r="H12" s="43" t="n">
        <f aca="false">H10/H6*1000</f>
        <v>960.680964967164</v>
      </c>
      <c r="I12" s="25" t="n">
        <f aca="false">I10/I6*1000</f>
        <v>894.196179856021</v>
      </c>
      <c r="J12" s="25" t="n">
        <f aca="false">J10/J6*1000</f>
        <v>964.281311499504</v>
      </c>
      <c r="K12" s="25" t="n">
        <f aca="false">K10/K6*1000</f>
        <v>867.952391146903</v>
      </c>
      <c r="L12" s="43" t="n">
        <f aca="false">L10/L6*1000</f>
        <v>951.496833373657</v>
      </c>
      <c r="M12" s="25" t="n">
        <f aca="false">M10/M6*1000</f>
        <v>863.322244911044</v>
      </c>
      <c r="N12" s="25" t="n">
        <f aca="false">N10/N6*1000</f>
        <v>1027.50551758981</v>
      </c>
    </row>
    <row r="14" customFormat="false" ht="15" hidden="false" customHeight="false" outlineLevel="0" collapsed="false">
      <c r="A14" s="19" t="s">
        <v>315</v>
      </c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</row>
    <row r="15" customFormat="false" ht="15" hidden="false" customHeight="false" outlineLevel="0" collapsed="false">
      <c r="A15" s="4" t="s">
        <v>316</v>
      </c>
      <c r="B15" s="17" t="s">
        <v>89</v>
      </c>
      <c r="C15" s="24" t="n">
        <v>1512.689</v>
      </c>
      <c r="D15" s="25" t="n">
        <f aca="false">E15-C15</f>
        <v>1565.129</v>
      </c>
      <c r="E15" s="10" t="n">
        <f aca="false">'Income Statement'!G6</f>
        <v>3077.818</v>
      </c>
      <c r="F15" s="24" t="n">
        <v>1646.812</v>
      </c>
      <c r="G15" s="43" t="n">
        <f aca="false">H15-F15</f>
        <v>1840.9018091705</v>
      </c>
      <c r="H15" s="38" t="n">
        <f aca="false">'Income Statement'!H6</f>
        <v>3487.7138091705</v>
      </c>
    </row>
    <row r="16" customFormat="false" ht="15" hidden="false" customHeight="false" outlineLevel="0" collapsed="false">
      <c r="A16" s="4" t="s">
        <v>317</v>
      </c>
      <c r="B16" s="17" t="s">
        <v>89</v>
      </c>
      <c r="C16" s="24" t="n">
        <v>150.696</v>
      </c>
      <c r="D16" s="25" t="n">
        <f aca="false">E16-C16</f>
        <v>180.466</v>
      </c>
      <c r="E16" s="10" t="n">
        <f aca="false">'Income Statement'!G7</f>
        <v>331.162</v>
      </c>
      <c r="F16" s="24" t="n">
        <v>193.678</v>
      </c>
      <c r="G16" s="43" t="n">
        <f aca="false">H16-F16</f>
        <v>210.33964</v>
      </c>
      <c r="H16" s="38" t="n">
        <f aca="false">'Income Statement'!H7</f>
        <v>404.01764</v>
      </c>
    </row>
    <row r="17" customFormat="false" ht="15" hidden="false" customHeight="false" outlineLevel="0" collapsed="false">
      <c r="A17" s="4" t="s">
        <v>318</v>
      </c>
      <c r="B17" s="17" t="s">
        <v>89</v>
      </c>
      <c r="C17" s="24" t="n">
        <v>1.104</v>
      </c>
      <c r="D17" s="25" t="n">
        <f aca="false">E17-C17</f>
        <v>1.563</v>
      </c>
      <c r="E17" s="10" t="n">
        <f aca="false">'Income Statement'!G8</f>
        <v>2.667</v>
      </c>
      <c r="F17" s="24" t="n">
        <v>1.575</v>
      </c>
      <c r="G17" s="43" t="n">
        <f aca="false">H17-F17</f>
        <v>1.025</v>
      </c>
      <c r="H17" s="38" t="n">
        <f aca="false">'Income Statement'!H8</f>
        <v>2.6</v>
      </c>
    </row>
    <row r="18" customFormat="false" ht="15" hidden="false" customHeight="false" outlineLevel="0" collapsed="false">
      <c r="A18" s="13" t="s">
        <v>319</v>
      </c>
      <c r="B18" s="17" t="s">
        <v>89</v>
      </c>
      <c r="C18" s="46" t="n">
        <f aca="false">C15+C16+C17</f>
        <v>1664.489</v>
      </c>
      <c r="D18" s="46" t="n">
        <f aca="false">D15+D16+D17</f>
        <v>1747.158</v>
      </c>
      <c r="E18" s="46" t="n">
        <f aca="false">E15+E16+E17</f>
        <v>3411.647</v>
      </c>
      <c r="F18" s="46" t="n">
        <f aca="false">F15+F16+F17</f>
        <v>1842.065</v>
      </c>
      <c r="G18" s="47" t="n">
        <f aca="false">G15+G16+G17</f>
        <v>2052.2664491705</v>
      </c>
      <c r="H18" s="47" t="n">
        <f aca="false">H15+H16+H17</f>
        <v>3894.3314491705</v>
      </c>
    </row>
    <row r="19" customFormat="false" ht="15" hidden="false" customHeight="false" outlineLevel="0" collapsed="false">
      <c r="A19" s="4" t="s">
        <v>320</v>
      </c>
      <c r="B19" s="17" t="s">
        <v>89</v>
      </c>
      <c r="C19" s="24" t="n">
        <v>-520.451</v>
      </c>
      <c r="D19" s="25" t="n">
        <f aca="false">E19-C19</f>
        <v>-572.715</v>
      </c>
      <c r="E19" s="10" t="n">
        <f aca="false">'Income Statement'!G12</f>
        <v>-1093.166</v>
      </c>
      <c r="F19" s="24" t="n">
        <v>-539.361</v>
      </c>
      <c r="G19" s="43" t="n">
        <f aca="false">H19-F19</f>
        <v>-579.4656648</v>
      </c>
      <c r="H19" s="38" t="n">
        <f aca="false">'Income Statement'!H12</f>
        <v>-1118.8266648</v>
      </c>
    </row>
    <row r="20" customFormat="false" ht="15" hidden="false" customHeight="false" outlineLevel="0" collapsed="false">
      <c r="A20" s="4" t="s">
        <v>321</v>
      </c>
      <c r="B20" s="17" t="s">
        <v>89</v>
      </c>
      <c r="C20" s="24" t="n">
        <v>-198.651</v>
      </c>
      <c r="D20" s="25" t="n">
        <f aca="false">E20-C20</f>
        <v>-203.795</v>
      </c>
      <c r="E20" s="10" t="n">
        <f aca="false">'Income Statement'!G13</f>
        <v>-402.446</v>
      </c>
      <c r="F20" s="24" t="n">
        <v>-226.702</v>
      </c>
      <c r="G20" s="43" t="n">
        <f aca="false">H20-F20</f>
        <v>-241.5026369</v>
      </c>
      <c r="H20" s="38" t="n">
        <f aca="false">'Income Statement'!H13</f>
        <v>-468.2046369</v>
      </c>
    </row>
    <row r="21" customFormat="false" ht="15" hidden="false" customHeight="false" outlineLevel="0" collapsed="false">
      <c r="A21" s="4" t="s">
        <v>322</v>
      </c>
      <c r="B21" s="17" t="s">
        <v>89</v>
      </c>
      <c r="C21" s="24" t="n">
        <v>-151.911</v>
      </c>
      <c r="D21" s="25" t="n">
        <f aca="false">E21-C21</f>
        <v>-177.515</v>
      </c>
      <c r="E21" s="10" t="n">
        <f aca="false">'Income Statement'!G14</f>
        <v>-329.426</v>
      </c>
      <c r="F21" s="24" t="n">
        <v>-180.231</v>
      </c>
      <c r="G21" s="43" t="n">
        <f aca="false">H21-F21</f>
        <v>-184.54656</v>
      </c>
      <c r="H21" s="38" t="n">
        <f aca="false">'Income Statement'!H14</f>
        <v>-364.77756</v>
      </c>
    </row>
    <row r="22" customFormat="false" ht="15" hidden="false" customHeight="false" outlineLevel="0" collapsed="false">
      <c r="A22" s="4" t="s">
        <v>323</v>
      </c>
      <c r="B22" s="17" t="s">
        <v>89</v>
      </c>
      <c r="C22" s="24" t="n">
        <v>-123.697</v>
      </c>
      <c r="D22" s="25" t="n">
        <f aca="false">E22-C22</f>
        <v>-150.831</v>
      </c>
      <c r="E22" s="10" t="n">
        <f aca="false">'Income Statement'!G15</f>
        <v>-274.528</v>
      </c>
      <c r="F22" s="24" t="n">
        <v>-161.511</v>
      </c>
      <c r="G22" s="43" t="n">
        <f aca="false">H22-F22</f>
        <v>-173.8236412</v>
      </c>
      <c r="H22" s="38" t="n">
        <f aca="false">'Income Statement'!H15</f>
        <v>-335.3346412</v>
      </c>
    </row>
    <row r="23" customFormat="false" ht="15" hidden="false" customHeight="false" outlineLevel="0" collapsed="false">
      <c r="A23" s="4" t="s">
        <v>324</v>
      </c>
      <c r="B23" s="17" t="s">
        <v>89</v>
      </c>
      <c r="C23" s="24" t="n">
        <v>-0.348</v>
      </c>
      <c r="D23" s="25" t="n">
        <f aca="false">E23-C23</f>
        <v>-1.267</v>
      </c>
      <c r="E23" s="10" t="n">
        <f aca="false">'Income Statement'!G16</f>
        <v>-1.615</v>
      </c>
      <c r="F23" s="24" t="n">
        <v>-1.027</v>
      </c>
      <c r="G23" s="43" t="n">
        <f aca="false">H23-F23</f>
        <v>-0.533</v>
      </c>
      <c r="H23" s="38" t="n">
        <f aca="false">'Income Statement'!H16</f>
        <v>-1.56</v>
      </c>
    </row>
    <row r="24" customFormat="false" ht="15" hidden="false" customHeight="false" outlineLevel="0" collapsed="false">
      <c r="A24" s="13" t="s">
        <v>325</v>
      </c>
      <c r="B24" s="17" t="s">
        <v>89</v>
      </c>
      <c r="C24" s="46" t="n">
        <f aca="false">SUM(C19:C23)</f>
        <v>-995.058</v>
      </c>
      <c r="D24" s="46" t="n">
        <f aca="false">SUM(D19:D23)</f>
        <v>-1106.123</v>
      </c>
      <c r="E24" s="46" t="n">
        <f aca="false">SUM(E19:E23)</f>
        <v>-2101.181</v>
      </c>
      <c r="F24" s="46" t="n">
        <f aca="false">SUM(F19:F23)</f>
        <v>-1108.832</v>
      </c>
      <c r="G24" s="47" t="n">
        <f aca="false">SUM(G19:G23)</f>
        <v>-1179.8715029</v>
      </c>
      <c r="H24" s="47" t="n">
        <f aca="false">SUM(H19:H23)</f>
        <v>-2288.7035029</v>
      </c>
    </row>
    <row r="25" customFormat="false" ht="15" hidden="false" customHeight="false" outlineLevel="0" collapsed="false">
      <c r="A25" s="13" t="s">
        <v>326</v>
      </c>
      <c r="B25" s="17" t="s">
        <v>89</v>
      </c>
      <c r="C25" s="46" t="n">
        <f aca="false">C18+C24</f>
        <v>669.431</v>
      </c>
      <c r="D25" s="46" t="n">
        <f aca="false">D18+D24</f>
        <v>641.035</v>
      </c>
      <c r="E25" s="46" t="n">
        <f aca="false">E18+E24</f>
        <v>1310.466</v>
      </c>
      <c r="F25" s="46" t="n">
        <f aca="false">F18+F24</f>
        <v>733.233</v>
      </c>
      <c r="G25" s="47" t="n">
        <f aca="false">G18+G24</f>
        <v>872.394946270501</v>
      </c>
      <c r="H25" s="47" t="n">
        <f aca="false">H18+H24</f>
        <v>1605.6279462705</v>
      </c>
    </row>
    <row r="26" customFormat="false" ht="15" hidden="false" customHeight="false" outlineLevel="0" collapsed="false">
      <c r="A26" s="4" t="s">
        <v>327</v>
      </c>
      <c r="B26" s="17" t="s">
        <v>128</v>
      </c>
      <c r="C26" s="9" t="n">
        <f aca="false">C25/C18</f>
        <v>0.402184093736877</v>
      </c>
      <c r="D26" s="9" t="n">
        <f aca="false">D25/D18</f>
        <v>0.366901562423089</v>
      </c>
      <c r="E26" s="9" t="n">
        <f aca="false">E25/E18</f>
        <v>0.384115355428038</v>
      </c>
      <c r="F26" s="9" t="n">
        <f aca="false">F25/F18</f>
        <v>0.398049471652738</v>
      </c>
      <c r="G26" s="40" t="n">
        <f aca="false">G25/G18</f>
        <v>0.425088538880081</v>
      </c>
      <c r="H26" s="40" t="n">
        <f aca="false">H25/H18</f>
        <v>0.412298739135957</v>
      </c>
    </row>
    <row r="27" customFormat="false" ht="15" hidden="false" customHeight="false" outlineLevel="0" collapsed="false">
      <c r="A27" s="4" t="s">
        <v>328</v>
      </c>
      <c r="B27" s="17" t="s">
        <v>89</v>
      </c>
      <c r="C27" s="24" t="n">
        <v>18.04</v>
      </c>
      <c r="D27" s="25" t="n">
        <f aca="false">E27-C27</f>
        <v>26.987</v>
      </c>
      <c r="E27" s="25" t="n">
        <f aca="false">'Income Statement'!G29+'Income Statement'!G30</f>
        <v>45.027</v>
      </c>
      <c r="F27" s="24" t="n">
        <v>13.511</v>
      </c>
      <c r="G27" s="43" t="n">
        <f aca="false">H27-F27</f>
        <v>8.489</v>
      </c>
      <c r="H27" s="43" t="n">
        <f aca="false">'Income Statement'!H29+'Income Statement'!H30</f>
        <v>22</v>
      </c>
      <c r="O27" s="17" t="s">
        <v>329</v>
      </c>
    </row>
    <row r="28" customFormat="false" ht="15" hidden="false" customHeight="false" outlineLevel="0" collapsed="false">
      <c r="A28" s="4" t="s">
        <v>330</v>
      </c>
      <c r="B28" s="17" t="s">
        <v>89</v>
      </c>
      <c r="C28" s="24" t="n">
        <v>-67.809</v>
      </c>
      <c r="D28" s="25" t="n">
        <f aca="false">E28-C28</f>
        <v>-85.769</v>
      </c>
      <c r="E28" s="10" t="n">
        <f aca="false">'Income Statement'!G31</f>
        <v>-153.578</v>
      </c>
      <c r="F28" s="24" t="n">
        <v>-79.445</v>
      </c>
      <c r="G28" s="43" t="n">
        <f aca="false">H28-F28</f>
        <v>-94.09814</v>
      </c>
      <c r="H28" s="38" t="n">
        <f aca="false">'Income Statement'!H31</f>
        <v>-173.54314</v>
      </c>
    </row>
    <row r="29" customFormat="false" ht="15" hidden="false" customHeight="false" outlineLevel="0" collapsed="false">
      <c r="A29" s="4" t="s">
        <v>193</v>
      </c>
      <c r="B29" s="17" t="s">
        <v>89</v>
      </c>
      <c r="C29" s="24" t="n">
        <v>-1.673</v>
      </c>
      <c r="D29" s="25" t="n">
        <f aca="false">E29-C29</f>
        <v>-4.013</v>
      </c>
      <c r="E29" s="10" t="n">
        <f aca="false">'Income Statement'!G33</f>
        <v>-5.686</v>
      </c>
      <c r="F29" s="24" t="n">
        <v>-1.804</v>
      </c>
      <c r="G29" s="43" t="n">
        <f aca="false">H29-F29</f>
        <v>-2.196</v>
      </c>
      <c r="H29" s="38" t="n">
        <f aca="false">'Income Statement'!H33</f>
        <v>-4</v>
      </c>
    </row>
    <row r="30" customFormat="false" ht="15" hidden="false" customHeight="false" outlineLevel="0" collapsed="false">
      <c r="A30" s="4" t="s">
        <v>331</v>
      </c>
      <c r="B30" s="17" t="s">
        <v>89</v>
      </c>
      <c r="C30" s="24" t="n">
        <v>13.348</v>
      </c>
      <c r="D30" s="25" t="n">
        <f aca="false">E30-C30</f>
        <v>17.732</v>
      </c>
      <c r="E30" s="10" t="n">
        <f aca="false">'Income Statement'!G41</f>
        <v>31.08</v>
      </c>
      <c r="F30" s="24" t="n">
        <v>16.81</v>
      </c>
      <c r="G30" s="43" t="n">
        <f aca="false">H30-F30</f>
        <v>19.2428</v>
      </c>
      <c r="H30" s="38" t="n">
        <f aca="false">'Income Statement'!H41</f>
        <v>36.0528</v>
      </c>
    </row>
    <row r="31" customFormat="false" ht="15" hidden="false" customHeight="false" outlineLevel="0" collapsed="false">
      <c r="A31" s="4" t="s">
        <v>199</v>
      </c>
      <c r="B31" s="17" t="s">
        <v>89</v>
      </c>
      <c r="C31" s="24" t="n">
        <v>0.954</v>
      </c>
      <c r="D31" s="25" t="n">
        <f aca="false">E31-C31</f>
        <v>0.725</v>
      </c>
      <c r="E31" s="10" t="n">
        <f aca="false">'Income Statement'!G42</f>
        <v>1.679</v>
      </c>
      <c r="F31" s="24" t="n">
        <v>0.525</v>
      </c>
      <c r="G31" s="43" t="n">
        <f aca="false">H31-F31</f>
        <v>0.975</v>
      </c>
      <c r="H31" s="38" t="n">
        <f aca="false">'Income Statement'!H42</f>
        <v>1.5</v>
      </c>
    </row>
    <row r="32" customFormat="false" ht="15" hidden="false" customHeight="false" outlineLevel="0" collapsed="false">
      <c r="A32" s="13" t="s">
        <v>332</v>
      </c>
      <c r="B32" s="17" t="s">
        <v>89</v>
      </c>
      <c r="C32" s="46" t="n">
        <f aca="false">C25+C27+C28+C29+C30+C31</f>
        <v>632.291</v>
      </c>
      <c r="D32" s="46" t="n">
        <f aca="false">D25+D27+D28+D29+D30+D31</f>
        <v>596.697</v>
      </c>
      <c r="E32" s="46" t="n">
        <f aca="false">E25+E27+E28+E29+E30+E31</f>
        <v>1228.988</v>
      </c>
      <c r="F32" s="46" t="n">
        <f aca="false">F25+F27+F28+F29+F30+F31</f>
        <v>682.83</v>
      </c>
      <c r="G32" s="47" t="n">
        <f aca="false">G25+G27+G28+G29+G30+G31</f>
        <v>804.807606270501</v>
      </c>
      <c r="H32" s="47" t="n">
        <f aca="false">H25+H27+H28+H29+H30+H31</f>
        <v>1487.6376062705</v>
      </c>
    </row>
    <row r="33" customFormat="false" ht="15" hidden="false" customHeight="false" outlineLevel="0" collapsed="false">
      <c r="A33" s="4" t="s">
        <v>333</v>
      </c>
      <c r="B33" s="17" t="s">
        <v>89</v>
      </c>
      <c r="C33" s="24" t="n">
        <v>-8.466</v>
      </c>
      <c r="D33" s="25" t="n">
        <f aca="false">E33-C33</f>
        <v>-7.084</v>
      </c>
      <c r="E33" s="10" t="n">
        <f aca="false">'Income Statement'!G45</f>
        <v>-15.55</v>
      </c>
      <c r="F33" s="24" t="n">
        <v>-6.995</v>
      </c>
      <c r="G33" s="43" t="n">
        <f aca="false">H33-F33</f>
        <v>-6.947578</v>
      </c>
      <c r="H33" s="38" t="n">
        <f aca="false">'Income Statement'!H45</f>
        <v>-13.942578</v>
      </c>
    </row>
    <row r="34" customFormat="false" ht="15" hidden="false" customHeight="false" outlineLevel="0" collapsed="false">
      <c r="A34" s="4" t="s">
        <v>334</v>
      </c>
      <c r="B34" s="17" t="s">
        <v>89</v>
      </c>
      <c r="C34" s="24" t="n">
        <v>19.782</v>
      </c>
      <c r="D34" s="25" t="n">
        <f aca="false">E34-C34</f>
        <v>18.049</v>
      </c>
      <c r="E34" s="10" t="n">
        <f aca="false">'Income Statement'!G44</f>
        <v>37.831</v>
      </c>
      <c r="F34" s="24" t="n">
        <v>16.569</v>
      </c>
      <c r="G34" s="43" t="n">
        <f aca="false">H34-F34</f>
        <v>16.63249</v>
      </c>
      <c r="H34" s="38" t="n">
        <f aca="false">'Income Statement'!H44</f>
        <v>33.20149</v>
      </c>
    </row>
    <row r="35" customFormat="false" ht="15" hidden="false" customHeight="false" outlineLevel="0" collapsed="false">
      <c r="A35" s="13" t="s">
        <v>335</v>
      </c>
      <c r="B35" s="17" t="s">
        <v>89</v>
      </c>
      <c r="C35" s="46" t="n">
        <f aca="false">C32+C33+C34</f>
        <v>643.607</v>
      </c>
      <c r="D35" s="46" t="n">
        <f aca="false">D32+D33+D34</f>
        <v>607.662</v>
      </c>
      <c r="E35" s="46" t="n">
        <f aca="false">E32+E33+E34</f>
        <v>1251.269</v>
      </c>
      <c r="F35" s="46" t="n">
        <f aca="false">F32+F33+F34</f>
        <v>692.404</v>
      </c>
      <c r="G35" s="47" t="n">
        <f aca="false">G32+G33+G34</f>
        <v>814.492518270501</v>
      </c>
      <c r="H35" s="47" t="n">
        <f aca="false">H32+H33+H34</f>
        <v>1506.8965182705</v>
      </c>
    </row>
    <row r="36" customFormat="false" ht="15" hidden="false" customHeight="false" outlineLevel="0" collapsed="false">
      <c r="A36" s="4" t="s">
        <v>336</v>
      </c>
      <c r="B36" s="17" t="s">
        <v>89</v>
      </c>
      <c r="C36" s="24" t="n">
        <v>-10.159</v>
      </c>
      <c r="D36" s="25" t="n">
        <f aca="false">E36-C36</f>
        <v>-10.708</v>
      </c>
      <c r="E36" s="10" t="n">
        <f aca="false">'Income Statement'!G47</f>
        <v>-20.867</v>
      </c>
      <c r="F36" s="24" t="n">
        <v>-11.935</v>
      </c>
      <c r="G36" s="43" t="n">
        <f aca="false">H36-F36</f>
        <v>-13.6822408105985</v>
      </c>
      <c r="H36" s="38" t="n">
        <f aca="false">'Income Statement'!H47</f>
        <v>-25.6172408105985</v>
      </c>
    </row>
    <row r="37" customFormat="false" ht="15" hidden="false" customHeight="false" outlineLevel="0" collapsed="false">
      <c r="A37" s="13" t="s">
        <v>337</v>
      </c>
      <c r="B37" s="17" t="s">
        <v>89</v>
      </c>
      <c r="C37" s="46" t="n">
        <f aca="false">C35+C36</f>
        <v>633.448</v>
      </c>
      <c r="D37" s="46" t="n">
        <f aca="false">D35+D36</f>
        <v>596.954</v>
      </c>
      <c r="E37" s="46" t="n">
        <f aca="false">E35+E36</f>
        <v>1230.402</v>
      </c>
      <c r="F37" s="46" t="n">
        <f aca="false">F35+F36</f>
        <v>680.469</v>
      </c>
      <c r="G37" s="47" t="n">
        <f aca="false">G35+G36</f>
        <v>800.810277459902</v>
      </c>
      <c r="H37" s="47" t="n">
        <f aca="false">H35+H36</f>
        <v>1481.2792774599</v>
      </c>
    </row>
    <row r="38" customFormat="false" ht="15" hidden="false" customHeight="false" outlineLevel="0" collapsed="false">
      <c r="A38" s="4" t="s">
        <v>338</v>
      </c>
      <c r="B38" s="17" t="s">
        <v>89</v>
      </c>
      <c r="C38" s="24" t="n">
        <v>-3.453</v>
      </c>
      <c r="D38" s="25" t="n">
        <f aca="false">E38-C38</f>
        <v>-4.062</v>
      </c>
      <c r="E38" s="10" t="n">
        <f aca="false">'Income Statement'!G51</f>
        <v>-7.515</v>
      </c>
      <c r="F38" s="24" t="n">
        <v>-3.928</v>
      </c>
      <c r="G38" s="43" t="n">
        <f aca="false">H38-F38</f>
        <v>-4.95967566475941</v>
      </c>
      <c r="H38" s="38" t="n">
        <f aca="false">'Income Statement'!H51</f>
        <v>-8.88767566475941</v>
      </c>
    </row>
    <row r="39" customFormat="false" ht="15" hidden="false" customHeight="false" outlineLevel="0" collapsed="false">
      <c r="A39" s="13" t="s">
        <v>339</v>
      </c>
      <c r="B39" s="17" t="s">
        <v>89</v>
      </c>
      <c r="C39" s="46" t="n">
        <f aca="false">C37+C38</f>
        <v>629.995</v>
      </c>
      <c r="D39" s="46" t="n">
        <f aca="false">D37+D38</f>
        <v>592.892</v>
      </c>
      <c r="E39" s="46" t="n">
        <f aca="false">E37+E38</f>
        <v>1222.887</v>
      </c>
      <c r="F39" s="46" t="n">
        <f aca="false">F37+F38</f>
        <v>676.541</v>
      </c>
      <c r="G39" s="47" t="n">
        <f aca="false">G37+G38</f>
        <v>795.850601795143</v>
      </c>
      <c r="H39" s="47" t="n">
        <f aca="false">H37+H38</f>
        <v>1472.39160179514</v>
      </c>
    </row>
    <row r="40" customFormat="false" ht="15" hidden="false" customHeight="false" outlineLevel="0" collapsed="false">
      <c r="A40" s="48" t="s">
        <v>340</v>
      </c>
      <c r="B40" s="17" t="s">
        <v>89</v>
      </c>
      <c r="C40" s="49" t="n">
        <v>57.211</v>
      </c>
      <c r="D40" s="50" t="n">
        <f aca="false">E40-C40</f>
        <v>58.803</v>
      </c>
      <c r="E40" s="51" t="n">
        <f aca="false">'Income Statement'!G36</f>
        <v>116.014</v>
      </c>
      <c r="F40" s="49" t="n">
        <v>57.516</v>
      </c>
      <c r="G40" s="52" t="n">
        <f aca="false">H40-F40</f>
        <v>57.25904</v>
      </c>
      <c r="H40" s="53" t="n">
        <f aca="false">'Income Statement'!H36</f>
        <v>114.77504</v>
      </c>
    </row>
    <row r="41" customFormat="false" ht="15" hidden="false" customHeight="false" outlineLevel="0" collapsed="false">
      <c r="A41" s="48" t="s">
        <v>341</v>
      </c>
      <c r="B41" s="17" t="s">
        <v>89</v>
      </c>
      <c r="C41" s="49" t="n">
        <v>27.523</v>
      </c>
      <c r="D41" s="50" t="n">
        <f aca="false">E41-C41</f>
        <v>36.708</v>
      </c>
      <c r="E41" s="51" t="n">
        <f aca="false">'Income Statement'!G37</f>
        <v>64.231</v>
      </c>
      <c r="F41" s="49" t="n">
        <v>33.656</v>
      </c>
      <c r="G41" s="52" t="n">
        <f aca="false">H41-F41</f>
        <v>34.83424</v>
      </c>
      <c r="H41" s="53" t="n">
        <f aca="false">'Income Statement'!H37</f>
        <v>68.49024</v>
      </c>
    </row>
    <row r="43" customFormat="false" ht="15" hidden="false" customHeight="false" outlineLevel="0" collapsed="false">
      <c r="A43" s="19" t="s">
        <v>342</v>
      </c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</row>
    <row r="44" customFormat="false" ht="15" hidden="false" customHeight="false" outlineLevel="0" collapsed="false">
      <c r="A44" s="4" t="s">
        <v>343</v>
      </c>
      <c r="B44" s="17" t="s">
        <v>105</v>
      </c>
      <c r="C44" s="25" t="n">
        <f aca="false">-C19/C6*1000</f>
        <v>284.451525279218</v>
      </c>
      <c r="D44" s="25" t="n">
        <f aca="false">-D19/D6*1000</f>
        <v>283.820991796316</v>
      </c>
      <c r="E44" s="25" t="n">
        <f aca="false">-E19/E6*1000</f>
        <v>284.120836721863</v>
      </c>
      <c r="F44" s="25" t="n">
        <f aca="false">-F19/F6*1000</f>
        <v>273.517679526071</v>
      </c>
      <c r="G44" s="43" t="n">
        <f aca="false">-G19/G6*1000</f>
        <v>278.351351810938</v>
      </c>
      <c r="H44" s="43" t="n">
        <f aca="false">-H19/H6*1000</f>
        <v>276</v>
      </c>
    </row>
    <row r="45" customFormat="false" ht="15" hidden="false" customHeight="false" outlineLevel="0" collapsed="false">
      <c r="A45" s="4" t="s">
        <v>344</v>
      </c>
      <c r="B45" s="17" t="s">
        <v>105</v>
      </c>
      <c r="C45" s="25" t="n">
        <f aca="false">-C20/C6*1000</f>
        <v>108.572334279773</v>
      </c>
      <c r="D45" s="25" t="n">
        <f aca="false">-D20/D6*1000</f>
        <v>100.994908502711</v>
      </c>
      <c r="E45" s="25" t="n">
        <f aca="false">-E20/E6*1000</f>
        <v>104.59828997185</v>
      </c>
      <c r="F45" s="25" t="n">
        <f aca="false">-F20/F6*1000</f>
        <v>114.96382753651</v>
      </c>
      <c r="G45" s="43" t="n">
        <f aca="false">-G20/G6*1000</f>
        <v>116.007883694408</v>
      </c>
      <c r="H45" s="43" t="n">
        <f aca="false">-H20/H6*1000</f>
        <v>115.5</v>
      </c>
    </row>
    <row r="46" customFormat="false" ht="15" hidden="false" customHeight="false" outlineLevel="0" collapsed="false">
      <c r="A46" s="4" t="s">
        <v>345</v>
      </c>
      <c r="B46" s="17" t="s">
        <v>105</v>
      </c>
      <c r="C46" s="25" t="n">
        <f aca="false">-C24/C6*1000</f>
        <v>543.847097692747</v>
      </c>
      <c r="D46" s="25" t="n">
        <f aca="false">-D24/D6*1000</f>
        <v>548.162571102061</v>
      </c>
      <c r="E46" s="25" t="n">
        <f aca="false">-E24/E6*1000</f>
        <v>546.110383806376</v>
      </c>
      <c r="F46" s="25" t="n">
        <f aca="false">-F24/F6*1000</f>
        <v>562.304570824091</v>
      </c>
      <c r="G46" s="43" t="n">
        <f aca="false">-G24/G6*1000</f>
        <v>566.761497264501</v>
      </c>
      <c r="H46" s="43" t="n">
        <f aca="false">-H24/H6*1000</f>
        <v>564.593414399288</v>
      </c>
    </row>
    <row r="47" customFormat="false" ht="15" hidden="false" customHeight="false" outlineLevel="0" collapsed="false">
      <c r="A47" s="4" t="s">
        <v>346</v>
      </c>
      <c r="B47" s="17" t="s">
        <v>105</v>
      </c>
      <c r="C47" s="25" t="n">
        <f aca="false">C25/C6*1000</f>
        <v>365.876266966904</v>
      </c>
      <c r="D47" s="25" t="n">
        <f aca="false">D25/D6*1000</f>
        <v>317.678408067104</v>
      </c>
      <c r="E47" s="25" t="n">
        <f aca="false">E25/E6*1000</f>
        <v>340.598496857342</v>
      </c>
      <c r="F47" s="25" t="n">
        <f aca="false">F25/F6*1000</f>
        <v>371.83294437666</v>
      </c>
      <c r="G47" s="43" t="n">
        <f aca="false">G25/G6*1000</f>
        <v>419.06246971723</v>
      </c>
      <c r="H47" s="43" t="n">
        <f aca="false">H25/H6*1000</f>
        <v>396.087550567876</v>
      </c>
    </row>
    <row r="48" customFormat="false" ht="15" hidden="false" customHeight="false" outlineLevel="0" collapsed="false">
      <c r="A48" s="4" t="s">
        <v>347</v>
      </c>
      <c r="B48" s="17" t="s">
        <v>128</v>
      </c>
      <c r="C48" s="9" t="n">
        <f aca="false">C32/C18</f>
        <v>0.37987093936938</v>
      </c>
      <c r="D48" s="9" t="n">
        <f aca="false">D32/D18</f>
        <v>0.341524349829838</v>
      </c>
      <c r="E48" s="9" t="n">
        <f aca="false">E32/E18</f>
        <v>0.360233048729837</v>
      </c>
      <c r="F48" s="9" t="n">
        <f aca="false">F32/F18</f>
        <v>0.370687245021213</v>
      </c>
      <c r="G48" s="40" t="n">
        <f aca="false">G32/G18</f>
        <v>0.392155514989681</v>
      </c>
      <c r="H48" s="40" t="n">
        <f aca="false">H32/H18</f>
        <v>0.382000768472691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12" min="2" style="0" width="11"/>
    <col collapsed="false" customWidth="true" hidden="false" outlineLevel="0" max="13" min="13" style="0" width="70"/>
  </cols>
  <sheetData>
    <row r="1" customFormat="false" ht="15" hidden="false" customHeight="false" outlineLevel="0" collapsed="false">
      <c r="A1" s="16" t="s">
        <v>348</v>
      </c>
    </row>
    <row r="2" customFormat="false" ht="15" hidden="false" customHeight="false" outlineLevel="0" collapsed="false">
      <c r="A2" s="17" t="s">
        <v>349</v>
      </c>
    </row>
    <row r="4" customFormat="false" ht="15" hidden="false" customHeight="false" outlineLevel="0" collapsed="false">
      <c r="A4" s="29" t="s">
        <v>293</v>
      </c>
      <c r="B4" s="30" t="s">
        <v>63</v>
      </c>
      <c r="C4" s="30" t="s">
        <v>115</v>
      </c>
      <c r="D4" s="30" t="s">
        <v>116</v>
      </c>
      <c r="E4" s="30" t="s">
        <v>117</v>
      </c>
      <c r="F4" s="30" t="s">
        <v>118</v>
      </c>
      <c r="G4" s="30" t="s">
        <v>119</v>
      </c>
      <c r="H4" s="30" t="s">
        <v>120</v>
      </c>
      <c r="I4" s="30" t="s">
        <v>121</v>
      </c>
      <c r="J4" s="30" t="s">
        <v>122</v>
      </c>
      <c r="K4" s="30" t="s">
        <v>123</v>
      </c>
      <c r="L4" s="30" t="s">
        <v>124</v>
      </c>
      <c r="M4" s="29" t="s">
        <v>350</v>
      </c>
    </row>
    <row r="5" customFormat="false" ht="15" hidden="false" customHeight="false" outlineLevel="0" collapsed="false">
      <c r="A5" s="19" t="s">
        <v>351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</row>
    <row r="6" customFormat="false" ht="15" hidden="false" customHeight="false" outlineLevel="0" collapsed="false">
      <c r="A6" s="4" t="s">
        <v>352</v>
      </c>
      <c r="B6" s="17" t="s">
        <v>101</v>
      </c>
      <c r="C6" s="10" t="n">
        <f aca="false">Inputs!$C$23</f>
        <v>129.652</v>
      </c>
      <c r="D6" s="25" t="n">
        <f aca="false">C9</f>
        <v>143.115</v>
      </c>
      <c r="E6" s="25" t="n">
        <f aca="false">D9</f>
        <v>162.701</v>
      </c>
      <c r="F6" s="25" t="n">
        <f aca="false">E9</f>
        <v>162.851</v>
      </c>
      <c r="G6" s="25" t="n">
        <f aca="false">F9</f>
        <v>180.255</v>
      </c>
      <c r="H6" s="43" t="n">
        <f aca="false">G9</f>
        <v>184.961</v>
      </c>
      <c r="I6" s="43" t="n">
        <f aca="false">H9</f>
        <v>187.261</v>
      </c>
      <c r="J6" s="43" t="n">
        <f aca="false">I9</f>
        <v>201.261</v>
      </c>
      <c r="K6" s="43" t="n">
        <f aca="false">J9</f>
        <v>216.261</v>
      </c>
      <c r="L6" s="43" t="n">
        <f aca="false">K9</f>
        <v>216.461</v>
      </c>
    </row>
    <row r="7" customFormat="false" ht="15" hidden="false" customHeight="false" outlineLevel="0" collapsed="false">
      <c r="A7" s="4" t="s">
        <v>353</v>
      </c>
      <c r="B7" s="17" t="s">
        <v>101</v>
      </c>
      <c r="H7" s="38" t="n">
        <f aca="false">Scenarios!H44</f>
        <v>4</v>
      </c>
      <c r="I7" s="38" t="n">
        <f aca="false">Scenarios!I44</f>
        <v>26</v>
      </c>
      <c r="J7" s="38" t="n">
        <f aca="false">Scenarios!J44</f>
        <v>30</v>
      </c>
      <c r="K7" s="38" t="n">
        <f aca="false">Scenarios!K44</f>
        <v>6.2</v>
      </c>
      <c r="L7" s="38" t="n">
        <f aca="false">Scenarios!L44</f>
        <v>0</v>
      </c>
    </row>
    <row r="8" customFormat="false" ht="15" hidden="false" customHeight="false" outlineLevel="0" collapsed="false">
      <c r="A8" s="4" t="s">
        <v>354</v>
      </c>
      <c r="B8" s="17" t="s">
        <v>101</v>
      </c>
      <c r="H8" s="38" t="n">
        <f aca="false">Scenarios!H45</f>
        <v>1.7</v>
      </c>
      <c r="I8" s="38" t="n">
        <f aca="false">Scenarios!I45</f>
        <v>12</v>
      </c>
      <c r="J8" s="38" t="n">
        <f aca="false">Scenarios!J45</f>
        <v>15</v>
      </c>
      <c r="K8" s="38" t="n">
        <f aca="false">Scenarios!K45</f>
        <v>6</v>
      </c>
      <c r="L8" s="38" t="n">
        <f aca="false">Scenarios!L45</f>
        <v>4</v>
      </c>
    </row>
    <row r="9" customFormat="false" ht="15" hidden="false" customHeight="false" outlineLevel="0" collapsed="false">
      <c r="A9" s="13" t="s">
        <v>355</v>
      </c>
      <c r="B9" s="17" t="s">
        <v>101</v>
      </c>
      <c r="C9" s="54" t="n">
        <v>143.115</v>
      </c>
      <c r="D9" s="54" t="n">
        <v>162.701</v>
      </c>
      <c r="E9" s="54" t="n">
        <v>162.851</v>
      </c>
      <c r="F9" s="54" t="n">
        <v>180.255</v>
      </c>
      <c r="G9" s="54" t="n">
        <v>184.961</v>
      </c>
      <c r="H9" s="47" t="n">
        <f aca="false">H6+H7-H8</f>
        <v>187.261</v>
      </c>
      <c r="I9" s="47" t="n">
        <f aca="false">I6+I7-I8</f>
        <v>201.261</v>
      </c>
      <c r="J9" s="47" t="n">
        <f aca="false">J6+J7-J8</f>
        <v>216.261</v>
      </c>
      <c r="K9" s="47" t="n">
        <f aca="false">K6+K7-K8</f>
        <v>216.461</v>
      </c>
      <c r="L9" s="47" t="n">
        <f aca="false">L6+L7-L8</f>
        <v>212.461</v>
      </c>
      <c r="M9" s="17" t="s">
        <v>356</v>
      </c>
    </row>
    <row r="10" customFormat="false" ht="15" hidden="false" customHeight="false" outlineLevel="0" collapsed="false">
      <c r="A10" s="4" t="s">
        <v>357</v>
      </c>
      <c r="B10" s="17" t="s">
        <v>128</v>
      </c>
      <c r="C10" s="9" t="n">
        <f aca="false">C9/C6-1</f>
        <v>0.103839508839046</v>
      </c>
      <c r="D10" s="9" t="n">
        <f aca="false">D9/D6-1</f>
        <v>0.136854976766936</v>
      </c>
      <c r="E10" s="9" t="n">
        <f aca="false">E9/E6-1</f>
        <v>0.000921936558472281</v>
      </c>
      <c r="F10" s="9" t="n">
        <f aca="false">F9/F6-1</f>
        <v>0.106870697754389</v>
      </c>
      <c r="G10" s="9" t="n">
        <f aca="false">G9/G6-1</f>
        <v>0.0261074588777011</v>
      </c>
      <c r="H10" s="40" t="n">
        <f aca="false">H9/H6-1</f>
        <v>0.0124350538762226</v>
      </c>
      <c r="I10" s="40" t="n">
        <f aca="false">I9/I6-1</f>
        <v>0.074761963249155</v>
      </c>
      <c r="J10" s="40" t="n">
        <f aca="false">J9/J6-1</f>
        <v>0.0745300877964434</v>
      </c>
      <c r="K10" s="40" t="n">
        <f aca="false">K9/K6-1</f>
        <v>0.000924808449049852</v>
      </c>
      <c r="L10" s="40" t="n">
        <f aca="false">L9/L6-1</f>
        <v>-0.0184790793722657</v>
      </c>
    </row>
    <row r="11" customFormat="false" ht="15" hidden="false" customHeight="false" outlineLevel="0" collapsed="false">
      <c r="A11" s="4" t="s">
        <v>358</v>
      </c>
      <c r="B11" s="17" t="s">
        <v>101</v>
      </c>
      <c r="C11" s="25" t="n">
        <f aca="false">AVERAGE(C6,C9)</f>
        <v>136.3835</v>
      </c>
      <c r="D11" s="25" t="n">
        <f aca="false">AVERAGE(D6,D9)</f>
        <v>152.908</v>
      </c>
      <c r="E11" s="25" t="n">
        <f aca="false">AVERAGE(E6,E9)</f>
        <v>162.776</v>
      </c>
      <c r="F11" s="25" t="n">
        <f aca="false">AVERAGE(F6,F9)</f>
        <v>171.553</v>
      </c>
      <c r="G11" s="25" t="n">
        <f aca="false">AVERAGE(G6,G9)</f>
        <v>182.608</v>
      </c>
      <c r="H11" s="43" t="n">
        <f aca="false">AVERAGE(H6,H9)</f>
        <v>186.111</v>
      </c>
      <c r="I11" s="43" t="n">
        <f aca="false">AVERAGE(I6,I9)</f>
        <v>194.261</v>
      </c>
      <c r="J11" s="43" t="n">
        <f aca="false">AVERAGE(J6,J9)</f>
        <v>208.761</v>
      </c>
      <c r="K11" s="43" t="n">
        <f aca="false">AVERAGE(K6,K9)</f>
        <v>216.361</v>
      </c>
      <c r="L11" s="43" t="n">
        <f aca="false">AVERAGE(L6,L9)</f>
        <v>214.461</v>
      </c>
    </row>
    <row r="12" customFormat="false" ht="15" hidden="false" customHeight="false" outlineLevel="0" collapsed="false">
      <c r="A12" s="4" t="s">
        <v>306</v>
      </c>
      <c r="B12" s="17" t="s">
        <v>101</v>
      </c>
      <c r="C12" s="24" t="n">
        <v>3142.118</v>
      </c>
      <c r="D12" s="24" t="n">
        <v>3261.939</v>
      </c>
      <c r="E12" s="24" t="n">
        <v>3224.498</v>
      </c>
      <c r="F12" s="24" t="n">
        <v>3570.184</v>
      </c>
      <c r="G12" s="24" t="n">
        <v>3847.539</v>
      </c>
      <c r="H12" s="38" t="n">
        <f aca="false">Interim!H6</f>
        <v>4053.7198</v>
      </c>
      <c r="I12" s="43" t="n">
        <f aca="false">H12*(1+Scenarios!I20)</f>
        <v>4256.40579</v>
      </c>
      <c r="J12" s="43" t="n">
        <f aca="false">I12*(1+Scenarios!J20)</f>
        <v>4469.2260795</v>
      </c>
      <c r="K12" s="43" t="n">
        <f aca="false">J12*(1+Scenarios!K20)</f>
        <v>4647.99512268</v>
      </c>
      <c r="L12" s="43" t="n">
        <f aca="false">K12*(1+Scenarios!L20)</f>
        <v>4810.6749519738</v>
      </c>
      <c r="M12" s="17" t="s">
        <v>359</v>
      </c>
    </row>
    <row r="13" customFormat="false" ht="15" hidden="false" customHeight="false" outlineLevel="0" collapsed="false">
      <c r="A13" s="4" t="s">
        <v>360</v>
      </c>
      <c r="B13" s="17" t="s">
        <v>128</v>
      </c>
      <c r="C13" s="9" t="n">
        <f aca="false">C12/Inputs!$C$24-1</f>
        <v>0.201941088737179</v>
      </c>
      <c r="D13" s="9" t="n">
        <f aca="false">D12/C12-1</f>
        <v>0.0381338320203124</v>
      </c>
      <c r="E13" s="9" t="n">
        <f aca="false">E12/D12-1</f>
        <v>-0.0114781422951195</v>
      </c>
      <c r="F13" s="9" t="n">
        <f aca="false">F12/E12-1</f>
        <v>0.107206144956517</v>
      </c>
      <c r="G13" s="9" t="n">
        <f aca="false">G12/F12-1</f>
        <v>0.077686472181826</v>
      </c>
      <c r="H13" s="40" t="n">
        <f aca="false">H12/G12-1</f>
        <v>0.0535877089225088</v>
      </c>
      <c r="I13" s="40" t="n">
        <f aca="false">I12/H12-1</f>
        <v>0.05</v>
      </c>
      <c r="J13" s="40" t="n">
        <f aca="false">J12/I12-1</f>
        <v>0.05</v>
      </c>
      <c r="K13" s="40" t="n">
        <f aca="false">K12/J12-1</f>
        <v>0.04</v>
      </c>
      <c r="L13" s="40" t="n">
        <f aca="false">L12/K12-1</f>
        <v>0.0349999999999999</v>
      </c>
    </row>
    <row r="14" customFormat="false" ht="15" hidden="false" customHeight="false" outlineLevel="0" collapsed="false">
      <c r="A14" s="4" t="s">
        <v>361</v>
      </c>
      <c r="B14" s="17" t="s">
        <v>217</v>
      </c>
      <c r="C14" s="8" t="n">
        <f aca="false">C12/C11</f>
        <v>23.0388426752503</v>
      </c>
      <c r="D14" s="8" t="n">
        <f aca="false">D12/D11</f>
        <v>21.3326902451147</v>
      </c>
      <c r="E14" s="8" t="n">
        <f aca="false">E12/E11</f>
        <v>19.8094190789797</v>
      </c>
      <c r="F14" s="8" t="n">
        <f aca="false">F12/F11</f>
        <v>20.8109680390317</v>
      </c>
      <c r="G14" s="8" t="n">
        <f aca="false">G12/G11</f>
        <v>21.0699366949969</v>
      </c>
      <c r="H14" s="55" t="n">
        <f aca="false">H12/H11</f>
        <v>21.7811940186233</v>
      </c>
      <c r="I14" s="55" t="n">
        <f aca="false">I12/I11</f>
        <v>21.9107581552653</v>
      </c>
      <c r="J14" s="55" t="n">
        <f aca="false">J12/J11</f>
        <v>21.4083381450558</v>
      </c>
      <c r="K14" s="55" t="n">
        <f aca="false">K12/K11</f>
        <v>21.4825921616188</v>
      </c>
      <c r="L14" s="55" t="n">
        <f aca="false">L12/L11</f>
        <v>22.4314675021277</v>
      </c>
      <c r="M14" s="17" t="s">
        <v>362</v>
      </c>
    </row>
    <row r="15" customFormat="false" ht="15" hidden="false" customHeight="false" outlineLevel="0" collapsed="false">
      <c r="A15" s="4" t="s">
        <v>309</v>
      </c>
      <c r="B15" s="17" t="s">
        <v>105</v>
      </c>
      <c r="C15" s="24" t="n">
        <v>826.9</v>
      </c>
      <c r="D15" s="24" t="n">
        <v>1099.6</v>
      </c>
      <c r="E15" s="24" t="n">
        <v>623.3</v>
      </c>
      <c r="F15" s="24" t="n">
        <v>721.1</v>
      </c>
      <c r="G15" s="24" t="n">
        <v>753.3</v>
      </c>
      <c r="H15" s="38" t="n">
        <f aca="false">Interim!H8</f>
        <v>831.278914813007</v>
      </c>
      <c r="I15" s="43" t="n">
        <f aca="false">H15*(1+Scenarios!I25)</f>
        <v>748.151023331706</v>
      </c>
      <c r="J15" s="43" t="n">
        <f aca="false">I15*(1+Scenarios!J25)</f>
        <v>710.743472165121</v>
      </c>
      <c r="K15" s="43" t="n">
        <f aca="false">J15*(1+Scenarios!K25)</f>
        <v>710.743472165121</v>
      </c>
      <c r="L15" s="43" t="n">
        <f aca="false">K15*(1+Scenarios!L25)</f>
        <v>717.850906886772</v>
      </c>
    </row>
    <row r="16" customFormat="false" ht="15" hidden="false" customHeight="false" outlineLevel="0" collapsed="false">
      <c r="A16" s="4" t="s">
        <v>363</v>
      </c>
      <c r="B16" s="17" t="s">
        <v>128</v>
      </c>
      <c r="C16" s="9" t="n">
        <f aca="false">C15/Inputs!$C$25-1</f>
        <v>0.516969363419556</v>
      </c>
      <c r="D16" s="9" t="n">
        <f aca="false">D15/C15-1</f>
        <v>0.329785947514814</v>
      </c>
      <c r="E16" s="9" t="n">
        <f aca="false">E15/D15-1</f>
        <v>-0.433157511822481</v>
      </c>
      <c r="F16" s="9" t="n">
        <f aca="false">F15/E15-1</f>
        <v>0.156906786459169</v>
      </c>
      <c r="G16" s="9" t="n">
        <f aca="false">G15/F15-1</f>
        <v>0.0446540008320619</v>
      </c>
      <c r="H16" s="40" t="n">
        <f aca="false">H15/G15-1</f>
        <v>0.103516414194885</v>
      </c>
      <c r="I16" s="40" t="n">
        <f aca="false">I15/H15-1</f>
        <v>-0.1</v>
      </c>
      <c r="J16" s="40" t="n">
        <f aca="false">J15/I15-1</f>
        <v>-0.05</v>
      </c>
      <c r="K16" s="40" t="n">
        <f aca="false">K15/J15-1</f>
        <v>0</v>
      </c>
      <c r="L16" s="40" t="n">
        <f aca="false">L15/K15-1</f>
        <v>0.01</v>
      </c>
    </row>
    <row r="17" customFormat="false" ht="15" hidden="false" customHeight="false" outlineLevel="0" collapsed="false">
      <c r="A17" s="4" t="s">
        <v>364</v>
      </c>
      <c r="B17" s="17" t="s">
        <v>89</v>
      </c>
      <c r="C17" s="25" t="n">
        <f aca="false">C12*C15/1000</f>
        <v>2598.2173742</v>
      </c>
      <c r="D17" s="25" t="n">
        <f aca="false">D12*D15/1000</f>
        <v>3586.8281244</v>
      </c>
      <c r="E17" s="25" t="n">
        <f aca="false">E12*E15/1000</f>
        <v>2009.8296034</v>
      </c>
      <c r="F17" s="25" t="n">
        <f aca="false">F12*F15/1000</f>
        <v>2574.4596824</v>
      </c>
      <c r="G17" s="25" t="n">
        <f aca="false">G12*G15/1000</f>
        <v>2898.3511287</v>
      </c>
      <c r="H17" s="43" t="n">
        <f aca="false">H12*H15/1000</f>
        <v>3369.7717963</v>
      </c>
      <c r="I17" s="43" t="n">
        <f aca="false">I12*I15/1000</f>
        <v>3184.4343475035</v>
      </c>
      <c r="J17" s="43" t="n">
        <f aca="false">J12*J15/1000</f>
        <v>3176.47326163474</v>
      </c>
      <c r="K17" s="43" t="n">
        <f aca="false">K12*K15/1000</f>
        <v>3303.53219210013</v>
      </c>
      <c r="L17" s="43" t="n">
        <f aca="false">L12*L15/1000</f>
        <v>3453.34737701187</v>
      </c>
    </row>
    <row r="18" customFormat="false" ht="15" hidden="false" customHeight="false" outlineLevel="0" collapsed="false">
      <c r="A18" s="4" t="s">
        <v>365</v>
      </c>
      <c r="B18" s="17" t="s">
        <v>128</v>
      </c>
      <c r="C18" s="9" t="n">
        <f aca="false">C19/C17</f>
        <v>0.0406396427213915</v>
      </c>
      <c r="D18" s="9" t="n">
        <f aca="false">D19/D17</f>
        <v>0.0624442732776517</v>
      </c>
      <c r="E18" s="9" t="n">
        <f aca="false">E19/E17</f>
        <v>0.0933693066728365</v>
      </c>
      <c r="F18" s="9" t="n">
        <f aca="false">F19/F17</f>
        <v>0.0625406250098669</v>
      </c>
      <c r="G18" s="9" t="n">
        <f aca="false">G19/G17</f>
        <v>0.0619203344697911</v>
      </c>
      <c r="H18" s="41" t="n">
        <f aca="false">Scenarios!H48</f>
        <v>0.035</v>
      </c>
      <c r="I18" s="41" t="n">
        <f aca="false">Scenarios!I48</f>
        <v>0.035</v>
      </c>
      <c r="J18" s="41" t="n">
        <f aca="false">Scenarios!J48</f>
        <v>0.035</v>
      </c>
      <c r="K18" s="41" t="n">
        <f aca="false">Scenarios!K48</f>
        <v>0.035</v>
      </c>
      <c r="L18" s="41" t="n">
        <f aca="false">Scenarios!L48</f>
        <v>0.035</v>
      </c>
    </row>
    <row r="19" customFormat="false" ht="15" hidden="false" customHeight="false" outlineLevel="0" collapsed="false">
      <c r="A19" s="4" t="s">
        <v>366</v>
      </c>
      <c r="B19" s="17" t="s">
        <v>89</v>
      </c>
      <c r="C19" s="25" t="n">
        <f aca="false">C20-C17</f>
        <v>105.5906258</v>
      </c>
      <c r="D19" s="25" t="n">
        <f aca="false">D20-D17</f>
        <v>223.9768756</v>
      </c>
      <c r="E19" s="25" t="n">
        <f aca="false">E20-E17</f>
        <v>187.6563966</v>
      </c>
      <c r="F19" s="25" t="n">
        <f aca="false">F20-F17</f>
        <v>161.008317599999</v>
      </c>
      <c r="G19" s="25" t="n">
        <f aca="false">G20-G17</f>
        <v>179.466871300001</v>
      </c>
      <c r="H19" s="43" t="n">
        <f aca="false">H17*H18</f>
        <v>117.9420128705</v>
      </c>
      <c r="I19" s="43" t="n">
        <f aca="false">I17*I18</f>
        <v>111.455202162623</v>
      </c>
      <c r="J19" s="43" t="n">
        <f aca="false">J17*J18</f>
        <v>111.176564157216</v>
      </c>
      <c r="K19" s="43" t="n">
        <f aca="false">K17*K18</f>
        <v>115.623626723505</v>
      </c>
      <c r="L19" s="43" t="n">
        <f aca="false">L17*L18</f>
        <v>120.867158195416</v>
      </c>
      <c r="M19" s="17" t="s">
        <v>367</v>
      </c>
    </row>
    <row r="20" customFormat="false" ht="15" hidden="false" customHeight="false" outlineLevel="0" collapsed="false">
      <c r="A20" s="13" t="s">
        <v>316</v>
      </c>
      <c r="B20" s="17" t="s">
        <v>89</v>
      </c>
      <c r="C20" s="54" t="n">
        <v>2703.808</v>
      </c>
      <c r="D20" s="54" t="n">
        <v>3810.805</v>
      </c>
      <c r="E20" s="54" t="n">
        <v>2197.486</v>
      </c>
      <c r="F20" s="54" t="n">
        <v>2735.468</v>
      </c>
      <c r="G20" s="54" t="n">
        <v>3077.818</v>
      </c>
      <c r="H20" s="47" t="n">
        <f aca="false">H17+H19</f>
        <v>3487.7138091705</v>
      </c>
      <c r="I20" s="47" t="n">
        <f aca="false">I17+I19</f>
        <v>3295.88954966612</v>
      </c>
      <c r="J20" s="47" t="n">
        <f aca="false">J17+J19</f>
        <v>3287.64982579196</v>
      </c>
      <c r="K20" s="47" t="n">
        <f aca="false">K17+K19</f>
        <v>3419.15581882364</v>
      </c>
      <c r="L20" s="47" t="n">
        <f aca="false">L17+L19</f>
        <v>3574.21453520729</v>
      </c>
    </row>
    <row r="21" customFormat="false" ht="15" hidden="false" customHeight="false" outlineLevel="0" collapsed="false">
      <c r="A21" s="4" t="s">
        <v>368</v>
      </c>
      <c r="B21" s="17" t="s">
        <v>128</v>
      </c>
      <c r="D21" s="9" t="n">
        <f aca="false">D20/C20-1</f>
        <v>0.40942145300258</v>
      </c>
      <c r="E21" s="9" t="n">
        <f aca="false">E20/D20-1</f>
        <v>-0.423353858305529</v>
      </c>
      <c r="F21" s="9" t="n">
        <f aca="false">F20/E20-1</f>
        <v>0.244817031826369</v>
      </c>
      <c r="G21" s="9" t="n">
        <f aca="false">G20/F20-1</f>
        <v>0.125152259138107</v>
      </c>
      <c r="H21" s="40" t="n">
        <f aca="false">H20/G20-1</f>
        <v>0.133177403332653</v>
      </c>
      <c r="I21" s="40" t="n">
        <f aca="false">I20/H20-1</f>
        <v>-0.0549999999999998</v>
      </c>
      <c r="J21" s="40" t="n">
        <f aca="false">J20/I20-1</f>
        <v>-0.00250000000000006</v>
      </c>
      <c r="K21" s="40" t="n">
        <f aca="false">K20/J20-1</f>
        <v>0.04</v>
      </c>
      <c r="L21" s="40" t="n">
        <f aca="false">L20/K20-1</f>
        <v>0.0453499999999998</v>
      </c>
    </row>
    <row r="22" customFormat="false" ht="15" hidden="false" customHeight="false" outlineLevel="0" collapsed="false">
      <c r="A22" s="4" t="s">
        <v>369</v>
      </c>
      <c r="B22" s="17" t="s">
        <v>105</v>
      </c>
      <c r="C22" s="25" t="n">
        <f aca="false">C20/C12*1000</f>
        <v>860.504920566319</v>
      </c>
      <c r="D22" s="25" t="n">
        <f aca="false">D20/D12*1000</f>
        <v>1168.26372289611</v>
      </c>
      <c r="E22" s="25" t="n">
        <f aca="false">E20/E12*1000</f>
        <v>681.497088849179</v>
      </c>
      <c r="F22" s="25" t="n">
        <f aca="false">F20/F12*1000</f>
        <v>766.198044694615</v>
      </c>
      <c r="G22" s="25" t="n">
        <f aca="false">G20/G12*1000</f>
        <v>799.944587956093</v>
      </c>
      <c r="H22" s="43" t="n">
        <f aca="false">H20/H12*1000</f>
        <v>860.373676831462</v>
      </c>
      <c r="I22" s="43" t="n">
        <f aca="false">I20/I12*1000</f>
        <v>774.336309148316</v>
      </c>
      <c r="J22" s="43" t="n">
        <f aca="false">J20/J12*1000</f>
        <v>735.6194936909</v>
      </c>
      <c r="K22" s="43" t="n">
        <f aca="false">K20/K12*1000</f>
        <v>735.6194936909</v>
      </c>
      <c r="L22" s="43" t="n">
        <f aca="false">L20/L12*1000</f>
        <v>742.975688627809</v>
      </c>
    </row>
    <row r="23" customFormat="false" ht="15" hidden="false" customHeight="false" outlineLevel="0" collapsed="false">
      <c r="A23" s="4" t="s">
        <v>317</v>
      </c>
      <c r="B23" s="17" t="s">
        <v>89</v>
      </c>
      <c r="C23" s="24" t="n">
        <v>279.422</v>
      </c>
      <c r="D23" s="24" t="n">
        <v>291.418</v>
      </c>
      <c r="E23" s="24" t="n">
        <v>224.682</v>
      </c>
      <c r="F23" s="24" t="n">
        <v>320.394</v>
      </c>
      <c r="G23" s="24" t="n">
        <v>331.162</v>
      </c>
      <c r="H23" s="43" t="n">
        <f aca="false">G23*(1+Scenarios!H35)</f>
        <v>404.01764</v>
      </c>
      <c r="I23" s="43" t="n">
        <f aca="false">H23*(1+Scenarios!I35)</f>
        <v>428.2586984</v>
      </c>
      <c r="J23" s="43" t="n">
        <f aca="false">I23*(1+Scenarios!J35)</f>
        <v>449.67163332</v>
      </c>
      <c r="K23" s="43" t="n">
        <f aca="false">J23*(1+Scenarios!K35)</f>
        <v>472.155214986</v>
      </c>
      <c r="L23" s="43" t="n">
        <f aca="false">K23*(1+Scenarios!L35)</f>
        <v>491.04142358544</v>
      </c>
      <c r="M23" s="17" t="s">
        <v>370</v>
      </c>
    </row>
    <row r="24" customFormat="false" ht="15" hidden="false" customHeight="false" outlineLevel="0" collapsed="false">
      <c r="A24" s="4" t="s">
        <v>368</v>
      </c>
      <c r="B24" s="17" t="s">
        <v>128</v>
      </c>
      <c r="D24" s="9" t="n">
        <f aca="false">D23/C23-1</f>
        <v>0.0429314799836806</v>
      </c>
      <c r="E24" s="9" t="n">
        <f aca="false">E23/D23-1</f>
        <v>-0.229004385453198</v>
      </c>
      <c r="F24" s="9" t="n">
        <f aca="false">F23/E23-1</f>
        <v>0.425988730739445</v>
      </c>
      <c r="G24" s="9" t="n">
        <f aca="false">G23/F23-1</f>
        <v>0.0336086193873792</v>
      </c>
      <c r="H24" s="40" t="n">
        <f aca="false">H23/G23-1</f>
        <v>0.22</v>
      </c>
      <c r="I24" s="40" t="n">
        <f aca="false">I23/H23-1</f>
        <v>0.0600000000000001</v>
      </c>
      <c r="J24" s="40" t="n">
        <f aca="false">J23/I23-1</f>
        <v>0.05</v>
      </c>
      <c r="K24" s="40" t="n">
        <f aca="false">K23/J23-1</f>
        <v>0.05</v>
      </c>
      <c r="L24" s="40" t="n">
        <f aca="false">L23/K23-1</f>
        <v>0.04</v>
      </c>
    </row>
    <row r="25" customFormat="false" ht="15" hidden="false" customHeight="false" outlineLevel="0" collapsed="false">
      <c r="A25" s="4" t="s">
        <v>371</v>
      </c>
      <c r="B25" s="17" t="s">
        <v>105</v>
      </c>
      <c r="C25" s="25" t="n">
        <f aca="false">C23/C12*1000</f>
        <v>88.9279142285554</v>
      </c>
      <c r="D25" s="25" t="n">
        <f aca="false">D23/D12*1000</f>
        <v>89.3388870852582</v>
      </c>
      <c r="E25" s="25" t="n">
        <f aca="false">E23/E12*1000</f>
        <v>69.6796834732104</v>
      </c>
      <c r="F25" s="25" t="n">
        <f aca="false">F23/F12*1000</f>
        <v>89.741593150381</v>
      </c>
      <c r="G25" s="25" t="n">
        <f aca="false">G23/G12*1000</f>
        <v>86.0711223459983</v>
      </c>
      <c r="H25" s="43" t="n">
        <f aca="false">H23/H12*1000</f>
        <v>99.6659019205027</v>
      </c>
      <c r="I25" s="43" t="n">
        <f aca="false">I23/I12*1000</f>
        <v>100.615100986412</v>
      </c>
      <c r="J25" s="43" t="n">
        <f aca="false">J23/J12*1000</f>
        <v>100.615100986412</v>
      </c>
      <c r="K25" s="43" t="n">
        <f aca="false">K23/K12*1000</f>
        <v>101.582553880512</v>
      </c>
      <c r="L25" s="43" t="n">
        <f aca="false">L23/L12*1000</f>
        <v>102.073290855781</v>
      </c>
    </row>
    <row r="26" customFormat="false" ht="15" hidden="false" customHeight="false" outlineLevel="0" collapsed="false">
      <c r="A26" s="4" t="s">
        <v>372</v>
      </c>
      <c r="B26" s="17" t="s">
        <v>89</v>
      </c>
      <c r="C26" s="24" t="n">
        <v>29.217</v>
      </c>
      <c r="D26" s="24" t="n">
        <v>10.732</v>
      </c>
      <c r="E26" s="24" t="n">
        <v>6.791</v>
      </c>
      <c r="F26" s="24" t="n">
        <v>2.197</v>
      </c>
      <c r="G26" s="24" t="n">
        <v>2.667</v>
      </c>
      <c r="H26" s="38" t="n">
        <f aca="false">Scenarios!H49</f>
        <v>2.6</v>
      </c>
      <c r="I26" s="38" t="n">
        <f aca="false">Scenarios!I49</f>
        <v>2.6</v>
      </c>
      <c r="J26" s="38" t="n">
        <f aca="false">Scenarios!J49</f>
        <v>2.6</v>
      </c>
      <c r="K26" s="38" t="n">
        <f aca="false">Scenarios!K49</f>
        <v>2.6</v>
      </c>
      <c r="L26" s="38" t="n">
        <f aca="false">Scenarios!L49</f>
        <v>2.6</v>
      </c>
    </row>
    <row r="27" customFormat="false" ht="15" hidden="false" customHeight="false" outlineLevel="0" collapsed="false">
      <c r="A27" s="13" t="s">
        <v>319</v>
      </c>
      <c r="B27" s="17" t="s">
        <v>89</v>
      </c>
      <c r="C27" s="46" t="n">
        <f aca="false">C20+C23+C26</f>
        <v>3012.447</v>
      </c>
      <c r="D27" s="46" t="n">
        <f aca="false">D20+D23+D26</f>
        <v>4112.955</v>
      </c>
      <c r="E27" s="46" t="n">
        <f aca="false">E20+E23+E26</f>
        <v>2428.959</v>
      </c>
      <c r="F27" s="46" t="n">
        <f aca="false">F20+F23+F26</f>
        <v>3058.059</v>
      </c>
      <c r="G27" s="46" t="n">
        <f aca="false">G20+G23+G26</f>
        <v>3411.647</v>
      </c>
      <c r="H27" s="47" t="n">
        <f aca="false">H20+H23+H26</f>
        <v>3894.3314491705</v>
      </c>
      <c r="I27" s="47" t="n">
        <f aca="false">I20+I23+I26</f>
        <v>3726.74824806612</v>
      </c>
      <c r="J27" s="47" t="n">
        <f aca="false">J20+J23+J26</f>
        <v>3739.92145911196</v>
      </c>
      <c r="K27" s="47" t="n">
        <f aca="false">K20+K23+K26</f>
        <v>3893.91103380964</v>
      </c>
      <c r="L27" s="47" t="n">
        <f aca="false">L20+L23+L26</f>
        <v>4067.85595879273</v>
      </c>
    </row>
    <row r="28" customFormat="false" ht="15" hidden="false" customHeight="false" outlineLevel="0" collapsed="false">
      <c r="A28" s="4" t="s">
        <v>373</v>
      </c>
      <c r="B28" s="17" t="s">
        <v>128</v>
      </c>
      <c r="D28" s="9" t="n">
        <f aca="false">D27/C27-1</f>
        <v>0.365320286132835</v>
      </c>
      <c r="E28" s="9" t="n">
        <f aca="false">E27/D27-1</f>
        <v>-0.409437010616455</v>
      </c>
      <c r="F28" s="9" t="n">
        <f aca="false">F27/E27-1</f>
        <v>0.25899984314268</v>
      </c>
      <c r="G28" s="9" t="n">
        <f aca="false">G27/F27-1</f>
        <v>0.115624976496529</v>
      </c>
      <c r="H28" s="40" t="n">
        <f aca="false">H27/G27-1</f>
        <v>0.141481357587846</v>
      </c>
      <c r="I28" s="40" t="n">
        <f aca="false">I27/H27-1</f>
        <v>-0.0430325983526833</v>
      </c>
      <c r="J28" s="40" t="n">
        <f aca="false">J27/I27-1</f>
        <v>0.00353477352613507</v>
      </c>
      <c r="K28" s="40" t="n">
        <f aca="false">K27/J27-1</f>
        <v>0.0411745477495249</v>
      </c>
      <c r="L28" s="40" t="n">
        <f aca="false">L27/K27-1</f>
        <v>0.0446710064695317</v>
      </c>
    </row>
    <row r="29" customFormat="false" ht="15" hidden="false" customHeight="false" outlineLevel="0" collapsed="false">
      <c r="A29" s="4" t="s">
        <v>374</v>
      </c>
      <c r="B29" s="17" t="s">
        <v>128</v>
      </c>
      <c r="C29" s="9" t="n">
        <f aca="false">C20/C27</f>
        <v>0.897545417396555</v>
      </c>
      <c r="D29" s="9" t="n">
        <f aca="false">D20/D27</f>
        <v>0.926537003200862</v>
      </c>
      <c r="E29" s="9" t="n">
        <f aca="false">E20/E27</f>
        <v>0.904702796547822</v>
      </c>
      <c r="F29" s="9" t="n">
        <f aca="false">F20/F27</f>
        <v>0.894511191576094</v>
      </c>
      <c r="G29" s="9" t="n">
        <f aca="false">G20/G27</f>
        <v>0.902150193147181</v>
      </c>
      <c r="H29" s="40" t="n">
        <f aca="false">H20/H27</f>
        <v>0.895587305470209</v>
      </c>
      <c r="I29" s="40" t="n">
        <f aca="false">I20/I27</f>
        <v>0.884387495553643</v>
      </c>
      <c r="J29" s="40" t="n">
        <f aca="false">J20/J27</f>
        <v>0.879069216221618</v>
      </c>
      <c r="K29" s="40" t="n">
        <f aca="false">K20/K27</f>
        <v>0.878077539300758</v>
      </c>
      <c r="L29" s="40" t="n">
        <f aca="false">L20/L27</f>
        <v>0.878648253874765</v>
      </c>
    </row>
    <row r="30" customFormat="false" ht="15" hidden="false" customHeight="false" outlineLevel="0" collapsed="false">
      <c r="A30" s="4" t="s">
        <v>375</v>
      </c>
      <c r="B30" s="17" t="s">
        <v>128</v>
      </c>
      <c r="C30" s="9" t="n">
        <f aca="false">C23/C27</f>
        <v>0.0927558227580436</v>
      </c>
      <c r="D30" s="9" t="n">
        <f aca="false">D23/D27</f>
        <v>0.0708536806262164</v>
      </c>
      <c r="E30" s="9" t="n">
        <f aca="false">E23/E27</f>
        <v>0.0925013555189692</v>
      </c>
      <c r="F30" s="9" t="n">
        <f aca="false">F23/F27</f>
        <v>0.104770378857962</v>
      </c>
      <c r="G30" s="9" t="n">
        <f aca="false">G23/G27</f>
        <v>0.0970680729864491</v>
      </c>
      <c r="H30" s="40" t="n">
        <f aca="false">H23/H27</f>
        <v>0.103745057469635</v>
      </c>
      <c r="I30" s="40" t="n">
        <f aca="false">I23/I27</f>
        <v>0.114914845300385</v>
      </c>
      <c r="J30" s="40" t="n">
        <f aca="false">J23/J27</f>
        <v>0.120235582013205</v>
      </c>
      <c r="K30" s="40" t="n">
        <f aca="false">K23/K27</f>
        <v>0.121254751556063</v>
      </c>
      <c r="L30" s="40" t="n">
        <f aca="false">L23/L27</f>
        <v>0.120712588783791</v>
      </c>
    </row>
    <row r="31" customFormat="false" ht="15" hidden="false" customHeight="false" outlineLevel="0" collapsed="false">
      <c r="A31" s="4" t="s">
        <v>376</v>
      </c>
      <c r="B31" s="17" t="s">
        <v>128</v>
      </c>
      <c r="C31" s="9" t="n">
        <f aca="false">C26/C27</f>
        <v>0.00969875984540143</v>
      </c>
      <c r="D31" s="9" t="n">
        <f aca="false">D26/D27</f>
        <v>0.0026093161729219</v>
      </c>
      <c r="E31" s="9" t="n">
        <f aca="false">E26/E27</f>
        <v>0.00279584793320925</v>
      </c>
      <c r="F31" s="9" t="n">
        <f aca="false">F26/F27</f>
        <v>0.000718429565943626</v>
      </c>
      <c r="G31" s="9" t="n">
        <f aca="false">G26/G27</f>
        <v>0.000781733866370114</v>
      </c>
      <c r="H31" s="40" t="n">
        <f aca="false">H26/H27</f>
        <v>0.000667637060156707</v>
      </c>
      <c r="I31" s="40" t="n">
        <f aca="false">I26/I27</f>
        <v>0.000697659145972414</v>
      </c>
      <c r="J31" s="40" t="n">
        <f aca="false">J26/J27</f>
        <v>0.000695201765177542</v>
      </c>
      <c r="K31" s="40" t="n">
        <f aca="false">K26/K27</f>
        <v>0.000667709143178927</v>
      </c>
      <c r="L31" s="40" t="n">
        <f aca="false">L26/L27</f>
        <v>0.000639157341444223</v>
      </c>
    </row>
    <row r="32" customFormat="false" ht="15" hidden="false" customHeight="false" outlineLevel="0" collapsed="false">
      <c r="A32" s="4" t="s">
        <v>377</v>
      </c>
      <c r="B32" s="17" t="s">
        <v>378</v>
      </c>
      <c r="C32" s="25" t="n">
        <f aca="false">C27/C11</f>
        <v>22.088060505853</v>
      </c>
      <c r="D32" s="25" t="n">
        <f aca="false">D27/D11</f>
        <v>26.8982329243728</v>
      </c>
      <c r="E32" s="25" t="n">
        <f aca="false">E27/E11</f>
        <v>14.9220953948985</v>
      </c>
      <c r="F32" s="25" t="n">
        <f aca="false">F27/F11</f>
        <v>17.8257389844538</v>
      </c>
      <c r="G32" s="25" t="n">
        <f aca="false">G27/G11</f>
        <v>18.6828999824761</v>
      </c>
      <c r="H32" s="43" t="n">
        <f aca="false">H27/H11</f>
        <v>20.9247784879481</v>
      </c>
      <c r="I32" s="43" t="n">
        <f aca="false">I27/I11</f>
        <v>19.1842328005422</v>
      </c>
      <c r="J32" s="43" t="n">
        <f aca="false">J27/J11</f>
        <v>17.9148474049844</v>
      </c>
      <c r="K32" s="43" t="n">
        <f aca="false">K27/K11</f>
        <v>17.9972870979966</v>
      </c>
      <c r="L32" s="43" t="n">
        <f aca="false">L27/L11</f>
        <v>18.967812137371</v>
      </c>
    </row>
    <row r="34" customFormat="false" ht="15" hidden="false" customHeight="false" outlineLevel="0" collapsed="false">
      <c r="A34" s="19" t="s">
        <v>379</v>
      </c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</row>
    <row r="35" customFormat="false" ht="15" hidden="false" customHeight="false" outlineLevel="0" collapsed="false">
      <c r="A35" s="4" t="s">
        <v>380</v>
      </c>
      <c r="B35" s="17" t="s">
        <v>89</v>
      </c>
      <c r="C35" s="24" t="n">
        <v>1414.641</v>
      </c>
      <c r="D35" s="24" t="n">
        <v>1980.749</v>
      </c>
      <c r="E35" s="24" t="n">
        <v>942.529</v>
      </c>
      <c r="F35" s="24" t="n">
        <v>1473.885</v>
      </c>
      <c r="G35" s="24" t="n">
        <v>1653.596</v>
      </c>
      <c r="H35" s="43" t="n">
        <f aca="false">H27*H41</f>
        <v>1869.27909560184</v>
      </c>
      <c r="I35" s="43" t="n">
        <f aca="false">I27*I41</f>
        <v>1770.20541783141</v>
      </c>
      <c r="J35" s="43" t="n">
        <f aca="false">J27*J41</f>
        <v>1757.76308578262</v>
      </c>
      <c r="K35" s="43" t="n">
        <f aca="false">K27*K41</f>
        <v>1810.66863072148</v>
      </c>
      <c r="L35" s="43" t="n">
        <f aca="false">L27*L41</f>
        <v>1871.21374104465</v>
      </c>
      <c r="M35" s="17" t="s">
        <v>381</v>
      </c>
    </row>
    <row r="36" customFormat="false" ht="15" hidden="false" customHeight="false" outlineLevel="0" collapsed="false">
      <c r="A36" s="4" t="s">
        <v>382</v>
      </c>
      <c r="B36" s="17" t="s">
        <v>89</v>
      </c>
      <c r="C36" s="24" t="n">
        <v>898.233</v>
      </c>
      <c r="D36" s="24" t="n">
        <v>1159.406</v>
      </c>
      <c r="E36" s="24" t="n">
        <v>790.401</v>
      </c>
      <c r="F36" s="24" t="n">
        <v>879.335</v>
      </c>
      <c r="G36" s="24" t="n">
        <v>983.042</v>
      </c>
      <c r="H36" s="43" t="n">
        <f aca="false">H27*H42</f>
        <v>1148.8277775053</v>
      </c>
      <c r="I36" s="43" t="n">
        <f aca="false">I27*I42</f>
        <v>1118.02447441984</v>
      </c>
      <c r="J36" s="43" t="n">
        <f aca="false">J27*J42</f>
        <v>1140.67604502915</v>
      </c>
      <c r="K36" s="43" t="n">
        <f aca="false">K27*K42</f>
        <v>1207.11242048099</v>
      </c>
      <c r="L36" s="43" t="n">
        <f aca="false">L27*L42</f>
        <v>1281.37462701971</v>
      </c>
    </row>
    <row r="37" customFormat="false" ht="15" hidden="false" customHeight="false" outlineLevel="0" collapsed="false">
      <c r="A37" s="4" t="s">
        <v>383</v>
      </c>
      <c r="B37" s="17" t="s">
        <v>89</v>
      </c>
      <c r="C37" s="24" t="n">
        <v>579.265</v>
      </c>
      <c r="D37" s="24" t="n">
        <v>742.682</v>
      </c>
      <c r="E37" s="24" t="n">
        <v>527.012</v>
      </c>
      <c r="F37" s="24" t="n">
        <v>520.96</v>
      </c>
      <c r="G37" s="24" t="n">
        <v>596.799</v>
      </c>
      <c r="H37" s="43" t="n">
        <f aca="false">H27*H43</f>
        <v>673.719340706497</v>
      </c>
      <c r="I37" s="43" t="n">
        <f aca="false">I27*I43</f>
        <v>641.000698667373</v>
      </c>
      <c r="J37" s="43" t="n">
        <f aca="false">J27*J43</f>
        <v>639.526569508145</v>
      </c>
      <c r="K37" s="43" t="n">
        <f aca="false">K27*K43</f>
        <v>661.964875747638</v>
      </c>
      <c r="L37" s="43" t="n">
        <f aca="false">L27*L43</f>
        <v>691.535512994764</v>
      </c>
    </row>
    <row r="38" customFormat="false" ht="15" hidden="false" customHeight="false" outlineLevel="0" collapsed="false">
      <c r="A38" s="4" t="s">
        <v>384</v>
      </c>
      <c r="B38" s="17" t="s">
        <v>89</v>
      </c>
      <c r="C38" s="24" t="n">
        <v>120.308</v>
      </c>
      <c r="D38" s="24" t="n">
        <v>230.118</v>
      </c>
      <c r="E38" s="24" t="n">
        <v>169.017</v>
      </c>
      <c r="F38" s="24" t="n">
        <v>183.879</v>
      </c>
      <c r="G38" s="24" t="n">
        <v>178.21</v>
      </c>
      <c r="H38" s="43" t="n">
        <f aca="false">H27*H44</f>
        <v>202.505235356866</v>
      </c>
      <c r="I38" s="43" t="n">
        <f aca="false">I27*I44</f>
        <v>197.517657147505</v>
      </c>
      <c r="J38" s="43" t="n">
        <f aca="false">J27*J44</f>
        <v>201.955758792046</v>
      </c>
      <c r="K38" s="43" t="n">
        <f aca="false">K27*K44</f>
        <v>214.16510685953</v>
      </c>
      <c r="L38" s="43" t="n">
        <f aca="false">L27*L44</f>
        <v>223.7320777336</v>
      </c>
    </row>
    <row r="39" customFormat="false" ht="15" hidden="false" customHeight="false" outlineLevel="0" collapsed="false">
      <c r="A39" s="13" t="s">
        <v>385</v>
      </c>
      <c r="B39" s="17" t="s">
        <v>89</v>
      </c>
      <c r="C39" s="46" t="n">
        <f aca="false">C35+C36+C37+C38</f>
        <v>3012.447</v>
      </c>
      <c r="D39" s="46" t="n">
        <f aca="false">D35+D36+D37+D38</f>
        <v>4112.955</v>
      </c>
      <c r="E39" s="46" t="n">
        <f aca="false">E35+E36+E37+E38</f>
        <v>2428.959</v>
      </c>
      <c r="F39" s="46" t="n">
        <f aca="false">F35+F36+F37+F38</f>
        <v>3058.059</v>
      </c>
      <c r="G39" s="46" t="n">
        <f aca="false">G35+G36+G37+G38</f>
        <v>3411.647</v>
      </c>
      <c r="H39" s="47" t="n">
        <f aca="false">H35+H36+H37+H38</f>
        <v>3894.3314491705</v>
      </c>
      <c r="I39" s="47" t="n">
        <f aca="false">I35+I36+I37+I38</f>
        <v>3726.74824806612</v>
      </c>
      <c r="J39" s="47" t="n">
        <f aca="false">J35+J36+J37+J38</f>
        <v>3739.92145911196</v>
      </c>
      <c r="K39" s="47" t="n">
        <f aca="false">K35+K36+K37+K38</f>
        <v>3893.91103380964</v>
      </c>
      <c r="L39" s="47" t="n">
        <f aca="false">L35+L36+L37+L38</f>
        <v>4067.85595879273</v>
      </c>
    </row>
    <row r="40" customFormat="false" ht="15" hidden="false" customHeight="false" outlineLevel="0" collapsed="false">
      <c r="A40" s="48" t="s">
        <v>386</v>
      </c>
      <c r="B40" s="17" t="s">
        <v>89</v>
      </c>
      <c r="C40" s="50" t="n">
        <f aca="false">ROUND(C39-C27,3)</f>
        <v>0</v>
      </c>
      <c r="D40" s="50" t="n">
        <f aca="false">ROUND(D39-D27,3)</f>
        <v>0</v>
      </c>
      <c r="E40" s="50" t="n">
        <f aca="false">ROUND(E39-E27,3)</f>
        <v>0</v>
      </c>
      <c r="F40" s="50" t="n">
        <f aca="false">ROUND(F39-F27,3)</f>
        <v>0</v>
      </c>
      <c r="G40" s="50" t="n">
        <f aca="false">ROUND(G39-G27,3)</f>
        <v>0</v>
      </c>
      <c r="H40" s="52" t="n">
        <f aca="false">ROUND(H39-H27,3)</f>
        <v>0</v>
      </c>
      <c r="I40" s="52" t="n">
        <f aca="false">ROUND(I39-I27,3)</f>
        <v>0</v>
      </c>
      <c r="J40" s="52" t="n">
        <f aca="false">ROUND(J39-J27,3)</f>
        <v>0</v>
      </c>
      <c r="K40" s="52" t="n">
        <f aca="false">ROUND(K39-K27,3)</f>
        <v>0</v>
      </c>
      <c r="L40" s="52" t="n">
        <f aca="false">ROUND(L39-L27,3)</f>
        <v>0</v>
      </c>
    </row>
    <row r="41" customFormat="false" ht="15" hidden="false" customHeight="false" outlineLevel="0" collapsed="false">
      <c r="A41" s="4" t="s">
        <v>387</v>
      </c>
      <c r="B41" s="17" t="s">
        <v>128</v>
      </c>
      <c r="C41" s="9" t="n">
        <f aca="false">C35/C39</f>
        <v>0.469598635262297</v>
      </c>
      <c r="D41" s="9" t="n">
        <f aca="false">D35/D39</f>
        <v>0.48158781216911</v>
      </c>
      <c r="E41" s="9" t="n">
        <f aca="false">E35/E39</f>
        <v>0.388038250131023</v>
      </c>
      <c r="F41" s="9" t="n">
        <f aca="false">F35/F39</f>
        <v>0.481967483295777</v>
      </c>
      <c r="G41" s="9" t="n">
        <f aca="false">G35/G39</f>
        <v>0.484691411508869</v>
      </c>
      <c r="H41" s="41" t="n">
        <f aca="false">Scenarios!H50</f>
        <v>0.48</v>
      </c>
      <c r="I41" s="41" t="n">
        <f aca="false">Scenarios!I50</f>
        <v>0.475</v>
      </c>
      <c r="J41" s="41" t="n">
        <f aca="false">Scenarios!J50</f>
        <v>0.47</v>
      </c>
      <c r="K41" s="41" t="n">
        <f aca="false">Scenarios!K50</f>
        <v>0.465</v>
      </c>
      <c r="L41" s="41" t="n">
        <f aca="false">Scenarios!L50</f>
        <v>0.46</v>
      </c>
    </row>
    <row r="42" customFormat="false" ht="15" hidden="false" customHeight="false" outlineLevel="0" collapsed="false">
      <c r="A42" s="4" t="s">
        <v>388</v>
      </c>
      <c r="B42" s="17" t="s">
        <v>128</v>
      </c>
      <c r="C42" s="9" t="n">
        <f aca="false">C36/C39</f>
        <v>0.298173876586045</v>
      </c>
      <c r="D42" s="9" t="n">
        <f aca="false">D36/D39</f>
        <v>0.28189124364356</v>
      </c>
      <c r="E42" s="9" t="n">
        <f aca="false">E36/E39</f>
        <v>0.325407304116702</v>
      </c>
      <c r="F42" s="9" t="n">
        <f aca="false">F36/F39</f>
        <v>0.287546773950404</v>
      </c>
      <c r="G42" s="9" t="n">
        <f aca="false">G36/G39</f>
        <v>0.288142940931462</v>
      </c>
      <c r="H42" s="41" t="n">
        <f aca="false">Scenarios!H51</f>
        <v>0.295</v>
      </c>
      <c r="I42" s="41" t="n">
        <f aca="false">Scenarios!I51</f>
        <v>0.3</v>
      </c>
      <c r="J42" s="41" t="n">
        <f aca="false">Scenarios!J51</f>
        <v>0.305</v>
      </c>
      <c r="K42" s="41" t="n">
        <f aca="false">Scenarios!K51</f>
        <v>0.31</v>
      </c>
      <c r="L42" s="41" t="n">
        <f aca="false">Scenarios!L51</f>
        <v>0.315</v>
      </c>
    </row>
    <row r="43" customFormat="false" ht="15" hidden="false" customHeight="false" outlineLevel="0" collapsed="false">
      <c r="A43" s="4" t="s">
        <v>389</v>
      </c>
      <c r="B43" s="17" t="s">
        <v>128</v>
      </c>
      <c r="C43" s="9" t="n">
        <f aca="false">C37/C39</f>
        <v>0.192290519965994</v>
      </c>
      <c r="D43" s="9" t="n">
        <f aca="false">D37/D39</f>
        <v>0.180571389669958</v>
      </c>
      <c r="E43" s="9" t="n">
        <f aca="false">E37/E39</f>
        <v>0.216970315266746</v>
      </c>
      <c r="F43" s="9" t="n">
        <f aca="false">F37/F39</f>
        <v>0.170356425431949</v>
      </c>
      <c r="G43" s="9" t="n">
        <f aca="false">G37/G39</f>
        <v>0.174929879908443</v>
      </c>
      <c r="H43" s="41" t="n">
        <f aca="false">Scenarios!H52</f>
        <v>0.173</v>
      </c>
      <c r="I43" s="41" t="n">
        <f aca="false">Scenarios!I52</f>
        <v>0.172</v>
      </c>
      <c r="J43" s="41" t="n">
        <f aca="false">Scenarios!J52</f>
        <v>0.171</v>
      </c>
      <c r="K43" s="41" t="n">
        <f aca="false">Scenarios!K52</f>
        <v>0.17</v>
      </c>
      <c r="L43" s="41" t="n">
        <f aca="false">Scenarios!L52</f>
        <v>0.17</v>
      </c>
    </row>
    <row r="44" customFormat="false" ht="15" hidden="false" customHeight="false" outlineLevel="0" collapsed="false">
      <c r="A44" s="4" t="s">
        <v>390</v>
      </c>
      <c r="B44" s="17" t="s">
        <v>128</v>
      </c>
      <c r="C44" s="9" t="n">
        <f aca="false">C38/C39</f>
        <v>0.0399369681856644</v>
      </c>
      <c r="D44" s="9" t="n">
        <f aca="false">D38/D39</f>
        <v>0.0559495545173725</v>
      </c>
      <c r="E44" s="9" t="n">
        <f aca="false">E38/E39</f>
        <v>0.069584130485529</v>
      </c>
      <c r="F44" s="9" t="n">
        <f aca="false">F38/F39</f>
        <v>0.0601293173218698</v>
      </c>
      <c r="G44" s="9" t="n">
        <f aca="false">G38/G39</f>
        <v>0.0522357676512254</v>
      </c>
      <c r="H44" s="40" t="n">
        <f aca="false">1-H41-H42-H43</f>
        <v>0.052</v>
      </c>
      <c r="I44" s="40" t="n">
        <f aca="false">1-I41-I42-I43</f>
        <v>0.0530000000000001</v>
      </c>
      <c r="J44" s="40" t="n">
        <f aca="false">1-J41-J42-J43</f>
        <v>0.054</v>
      </c>
      <c r="K44" s="40" t="n">
        <f aca="false">1-K41-K42-K43</f>
        <v>0.0549999999999999</v>
      </c>
      <c r="L44" s="40" t="n">
        <f aca="false">1-L41-L42-L43</f>
        <v>0.055</v>
      </c>
    </row>
    <row r="45" customFormat="false" ht="15" hidden="false" customHeight="false" outlineLevel="0" collapsed="false">
      <c r="A45" s="4" t="s">
        <v>391</v>
      </c>
      <c r="B45" s="17" t="s">
        <v>128</v>
      </c>
      <c r="D45" s="9" t="n">
        <f aca="false">D35/C35-1</f>
        <v>0.40017785431074</v>
      </c>
      <c r="E45" s="9" t="n">
        <f aca="false">E35/D35-1</f>
        <v>-0.524155256420677</v>
      </c>
      <c r="F45" s="9" t="n">
        <f aca="false">F35/E35-1</f>
        <v>0.563755597970991</v>
      </c>
      <c r="G45" s="9" t="n">
        <f aca="false">G35/F35-1</f>
        <v>0.121930137018831</v>
      </c>
      <c r="H45" s="40" t="n">
        <f aca="false">H35/G35-1</f>
        <v>0.130432763263724</v>
      </c>
      <c r="I45" s="40" t="n">
        <f aca="false">I35/H35-1</f>
        <v>-0.0530010087865095</v>
      </c>
      <c r="J45" s="40" t="n">
        <f aca="false">J35/I35-1</f>
        <v>-0.00702875040571893</v>
      </c>
      <c r="K45" s="40" t="n">
        <f aca="false">K35/J35-1</f>
        <v>0.0300982227734661</v>
      </c>
      <c r="L45" s="40" t="n">
        <f aca="false">L35/K35-1</f>
        <v>0.0334379848945905</v>
      </c>
    </row>
    <row r="46" customFormat="false" ht="15" hidden="false" customHeight="false" outlineLevel="0" collapsed="false">
      <c r="A46" s="4" t="s">
        <v>392</v>
      </c>
      <c r="B46" s="17" t="s">
        <v>128</v>
      </c>
      <c r="D46" s="9" t="n">
        <f aca="false">D36/C36-1</f>
        <v>0.290763087083196</v>
      </c>
      <c r="E46" s="9" t="n">
        <f aca="false">E36/D36-1</f>
        <v>-0.318270735186811</v>
      </c>
      <c r="F46" s="9" t="n">
        <f aca="false">F36/E36-1</f>
        <v>0.112517570195382</v>
      </c>
      <c r="G46" s="9" t="n">
        <f aca="false">G36/F36-1</f>
        <v>0.117937987228986</v>
      </c>
      <c r="H46" s="40" t="n">
        <f aca="false">H36/G36-1</f>
        <v>0.168645670790564</v>
      </c>
      <c r="I46" s="40" t="n">
        <f aca="false">I36/H36-1</f>
        <v>-0.0268128118840847</v>
      </c>
      <c r="J46" s="40" t="n">
        <f aca="false">J36/I36-1</f>
        <v>0.0202603530849041</v>
      </c>
      <c r="K46" s="40" t="n">
        <f aca="false">K36/J36-1</f>
        <v>0.0582429829585334</v>
      </c>
      <c r="L46" s="40" t="n">
        <f aca="false">L36/K36-1</f>
        <v>0.0615205388319435</v>
      </c>
    </row>
    <row r="47" customFormat="false" ht="15" hidden="false" customHeight="false" outlineLevel="0" collapsed="false">
      <c r="A47" s="4" t="s">
        <v>393</v>
      </c>
      <c r="B47" s="17" t="s">
        <v>128</v>
      </c>
      <c r="D47" s="9" t="n">
        <f aca="false">D37/C37-1</f>
        <v>0.282110950946458</v>
      </c>
      <c r="E47" s="9" t="n">
        <f aca="false">E37/D37-1</f>
        <v>-0.290393465844063</v>
      </c>
      <c r="F47" s="9" t="n">
        <f aca="false">F37/E37-1</f>
        <v>-0.0114836094813778</v>
      </c>
      <c r="G47" s="9" t="n">
        <f aca="false">G37/F37-1</f>
        <v>0.145575476044226</v>
      </c>
      <c r="H47" s="40" t="n">
        <f aca="false">H37/G37-1</f>
        <v>0.128888186318168</v>
      </c>
      <c r="I47" s="40" t="n">
        <f aca="false">I37/H37-1</f>
        <v>-0.0485642018304133</v>
      </c>
      <c r="J47" s="40" t="n">
        <f aca="false">J37/I37-1</f>
        <v>-0.00229973097110958</v>
      </c>
      <c r="K47" s="40" t="n">
        <f aca="false">K37/J37-1</f>
        <v>0.035085807704206</v>
      </c>
      <c r="L47" s="40" t="n">
        <f aca="false">L37/K37-1</f>
        <v>0.0446710064695317</v>
      </c>
    </row>
    <row r="48" customFormat="false" ht="15" hidden="false" customHeight="false" outlineLevel="0" collapsed="false">
      <c r="A48" s="4" t="s">
        <v>394</v>
      </c>
      <c r="B48" s="17" t="s">
        <v>128</v>
      </c>
      <c r="D48" s="9" t="n">
        <f aca="false">D38/C38-1</f>
        <v>0.912740632376899</v>
      </c>
      <c r="E48" s="9" t="n">
        <f aca="false">E38/D38-1</f>
        <v>-0.265520298281751</v>
      </c>
      <c r="F48" s="9" t="n">
        <f aca="false">F38/E38-1</f>
        <v>0.0879319831732903</v>
      </c>
      <c r="G48" s="9" t="n">
        <f aca="false">G38/F38-1</f>
        <v>-0.0308300567220835</v>
      </c>
      <c r="H48" s="40" t="n">
        <f aca="false">H38/G38-1</f>
        <v>0.136329248397207</v>
      </c>
      <c r="I48" s="40" t="n">
        <f aca="false">I38/H38-1</f>
        <v>-0.0246293790902349</v>
      </c>
      <c r="J48" s="40" t="n">
        <f aca="false">J38/I38-1</f>
        <v>0.0224693918945522</v>
      </c>
      <c r="K48" s="40" t="n">
        <f aca="false">K38/J38-1</f>
        <v>0.0604555578930326</v>
      </c>
      <c r="L48" s="40" t="n">
        <f aca="false">L38/K38-1</f>
        <v>0.0446710064695339</v>
      </c>
    </row>
    <row r="49" customFormat="false" ht="15" hidden="false" customHeight="false" outlineLevel="0" collapsed="false">
      <c r="A49" s="4" t="s">
        <v>395</v>
      </c>
      <c r="B49" s="17" t="s">
        <v>89</v>
      </c>
      <c r="C49" s="25" t="n">
        <f aca="false">C36+C37+C38</f>
        <v>1597.806</v>
      </c>
      <c r="D49" s="25" t="n">
        <f aca="false">D36+D37+D38</f>
        <v>2132.206</v>
      </c>
      <c r="E49" s="25" t="n">
        <f aca="false">E36+E37+E38</f>
        <v>1486.43</v>
      </c>
      <c r="F49" s="25" t="n">
        <f aca="false">F36+F37+F38</f>
        <v>1584.174</v>
      </c>
      <c r="G49" s="25" t="n">
        <f aca="false">G36+G37+G38</f>
        <v>1758.051</v>
      </c>
      <c r="H49" s="43" t="n">
        <f aca="false">H36+H37+H38</f>
        <v>2025.05235356866</v>
      </c>
      <c r="I49" s="43" t="n">
        <f aca="false">I36+I37+I38</f>
        <v>1956.54283023471</v>
      </c>
      <c r="J49" s="43" t="n">
        <f aca="false">J36+J37+J38</f>
        <v>1982.15837332934</v>
      </c>
      <c r="K49" s="43" t="n">
        <f aca="false">K36+K37+K38</f>
        <v>2083.24240308816</v>
      </c>
      <c r="L49" s="43" t="n">
        <f aca="false">L36+L37+L38</f>
        <v>2196.64221774807</v>
      </c>
    </row>
    <row r="50" customFormat="false" ht="15" hidden="false" customHeight="false" outlineLevel="0" collapsed="false">
      <c r="A50" s="4" t="s">
        <v>396</v>
      </c>
      <c r="B50" s="17" t="s">
        <v>128</v>
      </c>
      <c r="C50" s="9" t="n">
        <f aca="false">C49/C39</f>
        <v>0.530401364737703</v>
      </c>
      <c r="D50" s="9" t="n">
        <f aca="false">D49/D39</f>
        <v>0.518412187830891</v>
      </c>
      <c r="E50" s="9" t="n">
        <f aca="false">E49/E39</f>
        <v>0.611961749868977</v>
      </c>
      <c r="F50" s="9" t="n">
        <f aca="false">F49/F39</f>
        <v>0.518032516704223</v>
      </c>
      <c r="G50" s="9" t="n">
        <f aca="false">G49/G39</f>
        <v>0.515308588491131</v>
      </c>
      <c r="H50" s="40" t="n">
        <f aca="false">H49/H39</f>
        <v>0.52</v>
      </c>
      <c r="I50" s="40" t="n">
        <f aca="false">I49/I39</f>
        <v>0.525</v>
      </c>
      <c r="J50" s="40" t="n">
        <f aca="false">J49/J39</f>
        <v>0.53</v>
      </c>
      <c r="K50" s="40" t="n">
        <f aca="false">K49/K39</f>
        <v>0.535</v>
      </c>
      <c r="L50" s="40" t="n">
        <f aca="false">L49/L39</f>
        <v>0.54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12" min="2" style="0" width="11"/>
    <col collapsed="false" customWidth="true" hidden="false" outlineLevel="0" max="13" min="13" style="0" width="70"/>
  </cols>
  <sheetData>
    <row r="1" customFormat="false" ht="15" hidden="false" customHeight="false" outlineLevel="0" collapsed="false">
      <c r="A1" s="16" t="s">
        <v>397</v>
      </c>
    </row>
    <row r="2" customFormat="false" ht="15" hidden="false" customHeight="false" outlineLevel="0" collapsed="false">
      <c r="A2" s="17" t="s">
        <v>398</v>
      </c>
    </row>
    <row r="4" customFormat="false" ht="15" hidden="false" customHeight="false" outlineLevel="0" collapsed="false">
      <c r="A4" s="29" t="s">
        <v>293</v>
      </c>
      <c r="B4" s="30" t="s">
        <v>63</v>
      </c>
      <c r="C4" s="30" t="s">
        <v>115</v>
      </c>
      <c r="D4" s="30" t="s">
        <v>116</v>
      </c>
      <c r="E4" s="30" t="s">
        <v>117</v>
      </c>
      <c r="F4" s="30" t="s">
        <v>118</v>
      </c>
      <c r="G4" s="30" t="s">
        <v>119</v>
      </c>
      <c r="H4" s="30" t="s">
        <v>120</v>
      </c>
      <c r="I4" s="30" t="s">
        <v>121</v>
      </c>
      <c r="J4" s="30" t="s">
        <v>122</v>
      </c>
      <c r="K4" s="30" t="s">
        <v>123</v>
      </c>
      <c r="L4" s="30" t="s">
        <v>124</v>
      </c>
      <c r="M4" s="29" t="s">
        <v>350</v>
      </c>
    </row>
    <row r="5" customFormat="false" ht="15" hidden="false" customHeight="false" outlineLevel="0" collapsed="false">
      <c r="A5" s="19" t="s">
        <v>155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</row>
    <row r="6" customFormat="false" ht="15" hidden="false" customHeight="false" outlineLevel="0" collapsed="false">
      <c r="A6" s="4" t="s">
        <v>316</v>
      </c>
      <c r="B6" s="17" t="s">
        <v>89</v>
      </c>
      <c r="C6" s="10" t="n">
        <f aca="false">'Revenue Model'!C20</f>
        <v>2703.808</v>
      </c>
      <c r="D6" s="10" t="n">
        <f aca="false">'Revenue Model'!D20</f>
        <v>3810.805</v>
      </c>
      <c r="E6" s="10" t="n">
        <f aca="false">'Revenue Model'!E20</f>
        <v>2197.486</v>
      </c>
      <c r="F6" s="10" t="n">
        <f aca="false">'Revenue Model'!F20</f>
        <v>2735.468</v>
      </c>
      <c r="G6" s="10" t="n">
        <f aca="false">'Revenue Model'!G20</f>
        <v>3077.818</v>
      </c>
      <c r="H6" s="38" t="n">
        <f aca="false">'Revenue Model'!H20</f>
        <v>3487.7138091705</v>
      </c>
      <c r="I6" s="38" t="n">
        <f aca="false">'Revenue Model'!I20</f>
        <v>3295.88954966612</v>
      </c>
      <c r="J6" s="38" t="n">
        <f aca="false">'Revenue Model'!J20</f>
        <v>3287.64982579196</v>
      </c>
      <c r="K6" s="38" t="n">
        <f aca="false">'Revenue Model'!K20</f>
        <v>3419.15581882364</v>
      </c>
      <c r="L6" s="38" t="n">
        <f aca="false">'Revenue Model'!L20</f>
        <v>3574.21453520729</v>
      </c>
    </row>
    <row r="7" customFormat="false" ht="15" hidden="false" customHeight="false" outlineLevel="0" collapsed="false">
      <c r="A7" s="4" t="s">
        <v>317</v>
      </c>
      <c r="B7" s="17" t="s">
        <v>89</v>
      </c>
      <c r="C7" s="10" t="n">
        <f aca="false">'Revenue Model'!C23</f>
        <v>279.422</v>
      </c>
      <c r="D7" s="10" t="n">
        <f aca="false">'Revenue Model'!D23</f>
        <v>291.418</v>
      </c>
      <c r="E7" s="10" t="n">
        <f aca="false">'Revenue Model'!E23</f>
        <v>224.682</v>
      </c>
      <c r="F7" s="10" t="n">
        <f aca="false">'Revenue Model'!F23</f>
        <v>320.394</v>
      </c>
      <c r="G7" s="10" t="n">
        <f aca="false">'Revenue Model'!G23</f>
        <v>331.162</v>
      </c>
      <c r="H7" s="38" t="n">
        <f aca="false">'Revenue Model'!H23</f>
        <v>404.01764</v>
      </c>
      <c r="I7" s="38" t="n">
        <f aca="false">'Revenue Model'!I23</f>
        <v>428.2586984</v>
      </c>
      <c r="J7" s="38" t="n">
        <f aca="false">'Revenue Model'!J23</f>
        <v>449.67163332</v>
      </c>
      <c r="K7" s="38" t="n">
        <f aca="false">'Revenue Model'!K23</f>
        <v>472.155214986</v>
      </c>
      <c r="L7" s="38" t="n">
        <f aca="false">'Revenue Model'!L23</f>
        <v>491.04142358544</v>
      </c>
    </row>
    <row r="8" customFormat="false" ht="15" hidden="false" customHeight="false" outlineLevel="0" collapsed="false">
      <c r="A8" s="4" t="s">
        <v>318</v>
      </c>
      <c r="B8" s="17" t="s">
        <v>89</v>
      </c>
      <c r="C8" s="10" t="n">
        <f aca="false">'Revenue Model'!C26</f>
        <v>29.217</v>
      </c>
      <c r="D8" s="10" t="n">
        <f aca="false">'Revenue Model'!D26</f>
        <v>10.732</v>
      </c>
      <c r="E8" s="10" t="n">
        <f aca="false">'Revenue Model'!E26</f>
        <v>6.791</v>
      </c>
      <c r="F8" s="10" t="n">
        <f aca="false">'Revenue Model'!F26</f>
        <v>2.197</v>
      </c>
      <c r="G8" s="10" t="n">
        <f aca="false">'Revenue Model'!G26</f>
        <v>2.667</v>
      </c>
      <c r="H8" s="38" t="n">
        <f aca="false">'Revenue Model'!H26</f>
        <v>2.6</v>
      </c>
      <c r="I8" s="38" t="n">
        <f aca="false">'Revenue Model'!I26</f>
        <v>2.6</v>
      </c>
      <c r="J8" s="38" t="n">
        <f aca="false">'Revenue Model'!J26</f>
        <v>2.6</v>
      </c>
      <c r="K8" s="38" t="n">
        <f aca="false">'Revenue Model'!K26</f>
        <v>2.6</v>
      </c>
      <c r="L8" s="38" t="n">
        <f aca="false">'Revenue Model'!L26</f>
        <v>2.6</v>
      </c>
    </row>
    <row r="9" customFormat="false" ht="15" hidden="false" customHeight="false" outlineLevel="0" collapsed="false">
      <c r="A9" s="13" t="s">
        <v>319</v>
      </c>
      <c r="B9" s="17" t="s">
        <v>89</v>
      </c>
      <c r="C9" s="46" t="n">
        <f aca="false">C6+C7+C8</f>
        <v>3012.447</v>
      </c>
      <c r="D9" s="46" t="n">
        <f aca="false">D6+D7+D8</f>
        <v>4112.955</v>
      </c>
      <c r="E9" s="46" t="n">
        <f aca="false">E6+E7+E8</f>
        <v>2428.959</v>
      </c>
      <c r="F9" s="46" t="n">
        <f aca="false">F6+F7+F8</f>
        <v>3058.059</v>
      </c>
      <c r="G9" s="46" t="n">
        <f aca="false">G6+G7+G8</f>
        <v>3411.647</v>
      </c>
      <c r="H9" s="47" t="n">
        <f aca="false">H6+H7+H8</f>
        <v>3894.3314491705</v>
      </c>
      <c r="I9" s="47" t="n">
        <f aca="false">I6+I7+I8</f>
        <v>3726.74824806612</v>
      </c>
      <c r="J9" s="47" t="n">
        <f aca="false">J6+J7+J8</f>
        <v>3739.92145911196</v>
      </c>
      <c r="K9" s="47" t="n">
        <f aca="false">K6+K7+K8</f>
        <v>3893.91103380964</v>
      </c>
      <c r="L9" s="47" t="n">
        <f aca="false">L6+L7+L8</f>
        <v>4067.85595879273</v>
      </c>
    </row>
    <row r="10" customFormat="false" ht="15" hidden="false" customHeight="false" outlineLevel="0" collapsed="false">
      <c r="A10" s="4" t="s">
        <v>368</v>
      </c>
      <c r="B10" s="17" t="s">
        <v>128</v>
      </c>
      <c r="D10" s="9" t="n">
        <f aca="false">D9/C9-1</f>
        <v>0.365320286132835</v>
      </c>
      <c r="E10" s="9" t="n">
        <f aca="false">E9/D9-1</f>
        <v>-0.409437010616455</v>
      </c>
      <c r="F10" s="9" t="n">
        <f aca="false">F9/E9-1</f>
        <v>0.25899984314268</v>
      </c>
      <c r="G10" s="9" t="n">
        <f aca="false">G9/F9-1</f>
        <v>0.115624976496529</v>
      </c>
      <c r="H10" s="40" t="n">
        <f aca="false">H9/G9-1</f>
        <v>0.141481357587846</v>
      </c>
      <c r="I10" s="40" t="n">
        <f aca="false">I9/H9-1</f>
        <v>-0.0430325983526833</v>
      </c>
      <c r="J10" s="40" t="n">
        <f aca="false">J9/I9-1</f>
        <v>0.00353477352613507</v>
      </c>
      <c r="K10" s="40" t="n">
        <f aca="false">K9/J9-1</f>
        <v>0.0411745477495249</v>
      </c>
      <c r="L10" s="40" t="n">
        <f aca="false">L9/K9-1</f>
        <v>0.0446710064695317</v>
      </c>
    </row>
    <row r="11" customFormat="false" ht="15" hidden="false" customHeight="false" outlineLevel="0" collapsed="false">
      <c r="A11" s="19" t="s">
        <v>166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</row>
    <row r="12" customFormat="false" ht="15" hidden="false" customHeight="false" outlineLevel="0" collapsed="false">
      <c r="A12" s="4" t="s">
        <v>320</v>
      </c>
      <c r="B12" s="17" t="s">
        <v>89</v>
      </c>
      <c r="C12" s="24" t="n">
        <v>-853.83</v>
      </c>
      <c r="D12" s="24" t="n">
        <v>-1010.115</v>
      </c>
      <c r="E12" s="24" t="n">
        <v>-925.542</v>
      </c>
      <c r="F12" s="24" t="n">
        <v>-973.133</v>
      </c>
      <c r="G12" s="24" t="n">
        <v>-1093.166</v>
      </c>
      <c r="H12" s="43" t="n">
        <f aca="false">-'Revenue Model'!H12*H21/1000</f>
        <v>-1118.8266648</v>
      </c>
      <c r="I12" s="43" t="n">
        <f aca="false">-'Revenue Model'!I12*I21/1000</f>
        <v>-1192.3895180106</v>
      </c>
      <c r="J12" s="43" t="n">
        <f aca="false">-'Revenue Model'!J12*J21/1000</f>
        <v>-1270.7891288198</v>
      </c>
      <c r="K12" s="43" t="n">
        <f aca="false">-'Revenue Model'!K12*K21/1000</f>
        <v>-1341.44500438218</v>
      </c>
      <c r="L12" s="43" t="n">
        <f aca="false">-'Revenue Model'!L12*L21/1000</f>
        <v>-1409.22151322859</v>
      </c>
      <c r="M12" s="17" t="s">
        <v>399</v>
      </c>
    </row>
    <row r="13" customFormat="false" ht="15" hidden="false" customHeight="false" outlineLevel="0" collapsed="false">
      <c r="A13" s="4" t="s">
        <v>400</v>
      </c>
      <c r="B13" s="17" t="s">
        <v>89</v>
      </c>
      <c r="C13" s="24" t="n">
        <v>-350.506</v>
      </c>
      <c r="D13" s="24" t="n">
        <v>-542.194</v>
      </c>
      <c r="E13" s="24" t="n">
        <v>-408.463</v>
      </c>
      <c r="F13" s="24" t="n">
        <v>-422.468</v>
      </c>
      <c r="G13" s="24" t="n">
        <v>-402.446</v>
      </c>
      <c r="H13" s="43" t="n">
        <f aca="false">-'Revenue Model'!H12*H22/1000</f>
        <v>-468.2046369</v>
      </c>
      <c r="I13" s="43" t="n">
        <f aca="false">-'Revenue Model'!I12*I22/1000</f>
        <v>-476.86642268265</v>
      </c>
      <c r="J13" s="43" t="n">
        <f aca="false">-'Revenue Model'!J12*J22/1000</f>
        <v>-500.709743816783</v>
      </c>
      <c r="K13" s="43" t="n">
        <f aca="false">-'Revenue Model'!K12*K22/1000</f>
        <v>-525.945514905149</v>
      </c>
      <c r="L13" s="43" t="n">
        <f aca="false">-'Revenue Model'!L12*L22/1000</f>
        <v>-549.797144006097</v>
      </c>
    </row>
    <row r="14" customFormat="false" ht="15" hidden="false" customHeight="false" outlineLevel="0" collapsed="false">
      <c r="A14" s="4" t="s">
        <v>401</v>
      </c>
      <c r="B14" s="17" t="s">
        <v>89</v>
      </c>
      <c r="C14" s="24" t="n">
        <v>-258.686</v>
      </c>
      <c r="D14" s="24" t="n">
        <v>-355.962</v>
      </c>
      <c r="E14" s="24" t="n">
        <v>-296.734</v>
      </c>
      <c r="F14" s="24" t="n">
        <v>-257.47</v>
      </c>
      <c r="G14" s="24" t="n">
        <v>-329.426</v>
      </c>
      <c r="H14" s="43" t="n">
        <f aca="false">-'Revenue Model'!H11*H23/1000</f>
        <v>-364.77756</v>
      </c>
      <c r="I14" s="43" t="n">
        <f aca="false">-'Revenue Model'!I11*I23/1000</f>
        <v>-373.1365288</v>
      </c>
      <c r="J14" s="43" t="n">
        <f aca="false">-'Revenue Model'!J11*J23/1000</f>
        <v>-396.978247512</v>
      </c>
      <c r="K14" s="43" t="n">
        <f aca="false">-'Revenue Model'!K11*K23/1000</f>
        <v>-415.54465017912</v>
      </c>
      <c r="L14" s="43" t="n">
        <f aca="false">-'Revenue Model'!L11*L23/1000</f>
        <v>-418.073927558087</v>
      </c>
    </row>
    <row r="15" customFormat="false" ht="15" hidden="false" customHeight="false" outlineLevel="0" collapsed="false">
      <c r="A15" s="4" t="s">
        <v>323</v>
      </c>
      <c r="B15" s="17" t="s">
        <v>89</v>
      </c>
      <c r="C15" s="24" t="n">
        <v>-212.26</v>
      </c>
      <c r="D15" s="24" t="n">
        <v>-219.389</v>
      </c>
      <c r="E15" s="24" t="n">
        <v>-172.472</v>
      </c>
      <c r="F15" s="24" t="n">
        <v>-261.46</v>
      </c>
      <c r="G15" s="24" t="n">
        <v>-274.528</v>
      </c>
      <c r="H15" s="43" t="n">
        <f aca="false">-'Revenue Model'!H23*H24</f>
        <v>-335.3346412</v>
      </c>
      <c r="I15" s="43" t="n">
        <f aca="false">-'Revenue Model'!I23*I24</f>
        <v>-355.454719672</v>
      </c>
      <c r="J15" s="43" t="n">
        <f aca="false">-'Revenue Model'!J23*J24</f>
        <v>-373.2274556556</v>
      </c>
      <c r="K15" s="43" t="n">
        <f aca="false">-'Revenue Model'!K23*K24</f>
        <v>-391.88882843838</v>
      </c>
      <c r="L15" s="43" t="n">
        <f aca="false">-'Revenue Model'!L23*L24</f>
        <v>-407.564381575915</v>
      </c>
    </row>
    <row r="16" customFormat="false" ht="15" hidden="false" customHeight="false" outlineLevel="0" collapsed="false">
      <c r="A16" s="4" t="s">
        <v>324</v>
      </c>
      <c r="B16" s="17" t="s">
        <v>89</v>
      </c>
      <c r="C16" s="24" t="n">
        <v>-17.792</v>
      </c>
      <c r="D16" s="24" t="n">
        <v>-6.213</v>
      </c>
      <c r="E16" s="24" t="n">
        <v>-2.714</v>
      </c>
      <c r="F16" s="24" t="n">
        <v>-0.711</v>
      </c>
      <c r="G16" s="24" t="n">
        <v>-1.615</v>
      </c>
      <c r="H16" s="43" t="n">
        <f aca="false">-'Revenue Model'!H26*H25</f>
        <v>-1.56</v>
      </c>
      <c r="I16" s="43" t="n">
        <f aca="false">-'Revenue Model'!I26*I25</f>
        <v>-1.56</v>
      </c>
      <c r="J16" s="43" t="n">
        <f aca="false">-'Revenue Model'!J26*J25</f>
        <v>-1.56</v>
      </c>
      <c r="K16" s="43" t="n">
        <f aca="false">-'Revenue Model'!K26*K25</f>
        <v>-1.56</v>
      </c>
      <c r="L16" s="43" t="n">
        <f aca="false">-'Revenue Model'!L26*L25</f>
        <v>-1.56</v>
      </c>
      <c r="M16" s="17" t="s">
        <v>402</v>
      </c>
    </row>
    <row r="17" customFormat="false" ht="15" hidden="false" customHeight="false" outlineLevel="0" collapsed="false">
      <c r="A17" s="13" t="s">
        <v>325</v>
      </c>
      <c r="B17" s="17" t="s">
        <v>89</v>
      </c>
      <c r="C17" s="46" t="n">
        <f aca="false">SUM(C12:C16)</f>
        <v>-1693.074</v>
      </c>
      <c r="D17" s="46" t="n">
        <f aca="false">SUM(D12:D16)</f>
        <v>-2133.873</v>
      </c>
      <c r="E17" s="46" t="n">
        <f aca="false">SUM(E12:E16)</f>
        <v>-1805.925</v>
      </c>
      <c r="F17" s="46" t="n">
        <f aca="false">SUM(F12:F16)</f>
        <v>-1915.242</v>
      </c>
      <c r="G17" s="46" t="n">
        <f aca="false">SUM(G12:G16)</f>
        <v>-2101.181</v>
      </c>
      <c r="H17" s="47" t="n">
        <f aca="false">SUM(H12:H16)</f>
        <v>-2288.7035029</v>
      </c>
      <c r="I17" s="47" t="n">
        <f aca="false">SUM(I12:I16)</f>
        <v>-2399.40718916525</v>
      </c>
      <c r="J17" s="47" t="n">
        <f aca="false">SUM(J12:J16)</f>
        <v>-2543.26457580418</v>
      </c>
      <c r="K17" s="47" t="n">
        <f aca="false">SUM(K12:K16)</f>
        <v>-2676.38399790483</v>
      </c>
      <c r="L17" s="47" t="n">
        <f aca="false">SUM(L12:L16)</f>
        <v>-2786.21696636869</v>
      </c>
    </row>
    <row r="18" customFormat="false" ht="15" hidden="false" customHeight="false" outlineLevel="0" collapsed="false">
      <c r="A18" s="13" t="s">
        <v>326</v>
      </c>
      <c r="B18" s="17" t="s">
        <v>89</v>
      </c>
      <c r="C18" s="46" t="n">
        <f aca="false">C9+C17</f>
        <v>1319.373</v>
      </c>
      <c r="D18" s="46" t="n">
        <f aca="false">D9+D17</f>
        <v>1979.082</v>
      </c>
      <c r="E18" s="46" t="n">
        <f aca="false">E9+E17</f>
        <v>623.034</v>
      </c>
      <c r="F18" s="46" t="n">
        <f aca="false">F9+F17</f>
        <v>1142.817</v>
      </c>
      <c r="G18" s="46" t="n">
        <f aca="false">G9+G17</f>
        <v>1310.466</v>
      </c>
      <c r="H18" s="47" t="n">
        <f aca="false">H9+H17</f>
        <v>1605.6279462705</v>
      </c>
      <c r="I18" s="47" t="n">
        <f aca="false">I9+I17</f>
        <v>1327.34105890087</v>
      </c>
      <c r="J18" s="47" t="n">
        <f aca="false">J9+J17</f>
        <v>1196.65688330778</v>
      </c>
      <c r="K18" s="47" t="n">
        <f aca="false">K9+K17</f>
        <v>1217.52703590481</v>
      </c>
      <c r="L18" s="47" t="n">
        <f aca="false">L9+L17</f>
        <v>1281.63899242404</v>
      </c>
    </row>
    <row r="19" customFormat="false" ht="15" hidden="false" customHeight="false" outlineLevel="0" collapsed="false">
      <c r="A19" s="4" t="s">
        <v>327</v>
      </c>
      <c r="B19" s="17" t="s">
        <v>128</v>
      </c>
      <c r="C19" s="9" t="n">
        <f aca="false">C18/C9</f>
        <v>0.437973846510827</v>
      </c>
      <c r="D19" s="9" t="n">
        <f aca="false">D18/D9</f>
        <v>0.481182507467259</v>
      </c>
      <c r="E19" s="9" t="n">
        <f aca="false">E18/E9</f>
        <v>0.256502476987055</v>
      </c>
      <c r="F19" s="9" t="n">
        <f aca="false">F18/F9</f>
        <v>0.373706655103777</v>
      </c>
      <c r="G19" s="9" t="n">
        <f aca="false">G18/G9</f>
        <v>0.384115355428038</v>
      </c>
      <c r="H19" s="40" t="n">
        <f aca="false">H18/H9</f>
        <v>0.412298739135957</v>
      </c>
      <c r="I19" s="40" t="n">
        <f aca="false">I18/I9</f>
        <v>0.356166011371885</v>
      </c>
      <c r="J19" s="40" t="n">
        <f aca="false">J18/J9</f>
        <v>0.31996845291824</v>
      </c>
      <c r="K19" s="40" t="n">
        <f aca="false">K18/K9</f>
        <v>0.312674589977376</v>
      </c>
      <c r="L19" s="40" t="n">
        <f aca="false">L18/L9</f>
        <v>0.315064988880386</v>
      </c>
    </row>
    <row r="20" customFormat="false" ht="15" hidden="false" customHeight="false" outlineLevel="0" collapsed="false">
      <c r="A20" s="19" t="s">
        <v>403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</row>
    <row r="21" customFormat="false" ht="15" hidden="false" customHeight="false" outlineLevel="0" collapsed="false">
      <c r="A21" s="48" t="s">
        <v>343</v>
      </c>
      <c r="B21" s="17" t="s">
        <v>105</v>
      </c>
      <c r="C21" s="50" t="n">
        <f aca="false">-C12/'Revenue Model'!C12*1000</f>
        <v>271.737089440944</v>
      </c>
      <c r="D21" s="50" t="n">
        <f aca="false">-D12/'Revenue Model'!D12*1000</f>
        <v>309.667041597038</v>
      </c>
      <c r="E21" s="50" t="n">
        <f aca="false">-E12/'Revenue Model'!E12*1000</f>
        <v>287.034446912357</v>
      </c>
      <c r="F21" s="50" t="n">
        <f aca="false">-F12/'Revenue Model'!F12*1000</f>
        <v>272.572225969306</v>
      </c>
      <c r="G21" s="50" t="n">
        <f aca="false">-G12/'Revenue Model'!G12*1000</f>
        <v>284.120836721863</v>
      </c>
      <c r="H21" s="53" t="n">
        <f aca="false">Scenarios!H54</f>
        <v>276</v>
      </c>
      <c r="I21" s="52" t="n">
        <f aca="false">H21*(1+Scenarios!I55)</f>
        <v>280.14</v>
      </c>
      <c r="J21" s="52" t="n">
        <f aca="false">I21*(1+Scenarios!J55)</f>
        <v>284.3421</v>
      </c>
      <c r="K21" s="52" t="n">
        <f aca="false">J21*(1+Scenarios!K55)</f>
        <v>288.6072315</v>
      </c>
      <c r="L21" s="52" t="n">
        <f aca="false">K21*(1+Scenarios!L55)</f>
        <v>292.9363399725</v>
      </c>
    </row>
    <row r="22" customFormat="false" ht="15" hidden="false" customHeight="false" outlineLevel="0" collapsed="false">
      <c r="A22" s="48" t="s">
        <v>344</v>
      </c>
      <c r="B22" s="17" t="s">
        <v>105</v>
      </c>
      <c r="C22" s="50" t="n">
        <f aca="false">-C13/'Revenue Model'!C12*1000</f>
        <v>111.550871100322</v>
      </c>
      <c r="D22" s="50" t="n">
        <f aca="false">-D13/'Revenue Model'!D12*1000</f>
        <v>166.218313708503</v>
      </c>
      <c r="E22" s="50" t="n">
        <f aca="false">-E13/'Revenue Model'!E12*1000</f>
        <v>126.674911877756</v>
      </c>
      <c r="F22" s="50" t="n">
        <f aca="false">-F13/'Revenue Model'!F12*1000</f>
        <v>118.332276431691</v>
      </c>
      <c r="G22" s="50" t="n">
        <f aca="false">-G13/'Revenue Model'!G12*1000</f>
        <v>104.59828997185</v>
      </c>
      <c r="H22" s="53" t="n">
        <f aca="false">Scenarios!H56</f>
        <v>115.5</v>
      </c>
      <c r="I22" s="52" t="n">
        <f aca="false">H22*(1+Scenarios!I57)</f>
        <v>112.035</v>
      </c>
      <c r="J22" s="52" t="n">
        <f aca="false">I22*(1+Scenarios!J57)</f>
        <v>112.035</v>
      </c>
      <c r="K22" s="52" t="n">
        <f aca="false">J22*(1+Scenarios!K57)</f>
        <v>113.15535</v>
      </c>
      <c r="L22" s="52" t="n">
        <f aca="false">K22*(1+Scenarios!L57)</f>
        <v>114.2869035</v>
      </c>
    </row>
    <row r="23" customFormat="false" ht="15" hidden="false" customHeight="false" outlineLevel="0" collapsed="false">
      <c r="A23" s="48" t="s">
        <v>404</v>
      </c>
      <c r="B23" s="17" t="s">
        <v>176</v>
      </c>
      <c r="C23" s="56" t="n">
        <f aca="false">-C14/'Revenue Model'!C11*1000</f>
        <v>1896.7543727797</v>
      </c>
      <c r="D23" s="56" t="n">
        <f aca="false">-D14/'Revenue Model'!D11*1000</f>
        <v>2327.9488319774</v>
      </c>
      <c r="E23" s="56" t="n">
        <f aca="false">-E14/'Revenue Model'!E11*1000</f>
        <v>1822.95915859832</v>
      </c>
      <c r="F23" s="56" t="n">
        <f aca="false">-F14/'Revenue Model'!F11*1000</f>
        <v>1500.8189888839</v>
      </c>
      <c r="G23" s="56" t="n">
        <f aca="false">-G14/'Revenue Model'!G11*1000</f>
        <v>1804.00639621484</v>
      </c>
      <c r="H23" s="57" t="n">
        <f aca="false">Scenarios!H58</f>
        <v>1960</v>
      </c>
      <c r="I23" s="58" t="n">
        <f aca="false">H23*(1+Scenarios!I30)</f>
        <v>1920.8</v>
      </c>
      <c r="J23" s="58" t="n">
        <f aca="false">I23*(1+Scenarios!J30)</f>
        <v>1901.592</v>
      </c>
      <c r="K23" s="58" t="n">
        <f aca="false">J23*(1+Scenarios!K30)</f>
        <v>1920.60792</v>
      </c>
      <c r="L23" s="58" t="n">
        <f aca="false">K23*(1+Scenarios!L30)</f>
        <v>1949.4170388</v>
      </c>
    </row>
    <row r="24" customFormat="false" ht="15" hidden="false" customHeight="false" outlineLevel="0" collapsed="false">
      <c r="A24" s="48" t="s">
        <v>178</v>
      </c>
      <c r="B24" s="17" t="s">
        <v>128</v>
      </c>
      <c r="C24" s="59" t="n">
        <f aca="false">-C15/C7</f>
        <v>0.759639541625212</v>
      </c>
      <c r="D24" s="59" t="n">
        <f aca="false">-D15/D7</f>
        <v>0.752832700794048</v>
      </c>
      <c r="E24" s="59" t="n">
        <f aca="false">-E15/E7</f>
        <v>0.767627135240028</v>
      </c>
      <c r="F24" s="59" t="n">
        <f aca="false">-F15/F7</f>
        <v>0.816057728921266</v>
      </c>
      <c r="G24" s="59" t="n">
        <f aca="false">-G15/G7</f>
        <v>0.828984001787645</v>
      </c>
      <c r="H24" s="60" t="n">
        <f aca="false">Scenarios!H59</f>
        <v>0.83</v>
      </c>
      <c r="I24" s="60" t="n">
        <f aca="false">Scenarios!I59</f>
        <v>0.83</v>
      </c>
      <c r="J24" s="60" t="n">
        <f aca="false">Scenarios!J59</f>
        <v>0.83</v>
      </c>
      <c r="K24" s="60" t="n">
        <f aca="false">Scenarios!K59</f>
        <v>0.83</v>
      </c>
      <c r="L24" s="60" t="n">
        <f aca="false">Scenarios!L59</f>
        <v>0.83</v>
      </c>
    </row>
    <row r="25" customFormat="false" ht="15" hidden="false" customHeight="false" outlineLevel="0" collapsed="false">
      <c r="A25" s="48" t="s">
        <v>180</v>
      </c>
      <c r="B25" s="17" t="s">
        <v>128</v>
      </c>
      <c r="C25" s="59" t="n">
        <f aca="false">-C16/C8</f>
        <v>0.608960536673854</v>
      </c>
      <c r="D25" s="59" t="n">
        <f aca="false">-D16/D8</f>
        <v>0.578922847558703</v>
      </c>
      <c r="E25" s="59" t="n">
        <f aca="false">-E16/E8</f>
        <v>0.399646591076425</v>
      </c>
      <c r="F25" s="59" t="n">
        <f aca="false">-F16/F8</f>
        <v>0.32362312243969</v>
      </c>
      <c r="G25" s="59" t="n">
        <f aca="false">-G16/G8</f>
        <v>0.605549306336708</v>
      </c>
      <c r="H25" s="60" t="n">
        <f aca="false">Scenarios!H60</f>
        <v>0.6</v>
      </c>
      <c r="I25" s="60" t="n">
        <f aca="false">Scenarios!I60</f>
        <v>0.6</v>
      </c>
      <c r="J25" s="60" t="n">
        <f aca="false">Scenarios!J60</f>
        <v>0.6</v>
      </c>
      <c r="K25" s="60" t="n">
        <f aca="false">Scenarios!K60</f>
        <v>0.6</v>
      </c>
      <c r="L25" s="60" t="n">
        <f aca="false">Scenarios!L60</f>
        <v>0.6</v>
      </c>
    </row>
    <row r="26" customFormat="false" ht="15" hidden="false" customHeight="false" outlineLevel="0" collapsed="false">
      <c r="A26" s="48" t="s">
        <v>405</v>
      </c>
      <c r="B26" s="17" t="s">
        <v>105</v>
      </c>
      <c r="C26" s="50" t="n">
        <f aca="false">-C17/'Revenue Model'!C12*1000</f>
        <v>538.832087146314</v>
      </c>
      <c r="D26" s="50" t="n">
        <f aca="false">-D17/'Revenue Model'!D12*1000</f>
        <v>654.173177364752</v>
      </c>
      <c r="E26" s="50" t="n">
        <f aca="false">-E17/'Revenue Model'!E12*1000</f>
        <v>560.063923128499</v>
      </c>
      <c r="F26" s="50" t="n">
        <f aca="false">-F17/'Revenue Model'!F12*1000</f>
        <v>536.454703735158</v>
      </c>
      <c r="G26" s="50" t="n">
        <f aca="false">-G17/'Revenue Model'!G12*1000</f>
        <v>546.110383806376</v>
      </c>
      <c r="H26" s="52" t="n">
        <f aca="false">-H17/'Revenue Model'!H12*1000</f>
        <v>564.593414399288</v>
      </c>
      <c r="I26" s="52" t="n">
        <f aca="false">-I17/'Revenue Model'!I12*1000</f>
        <v>563.716738381105</v>
      </c>
      <c r="J26" s="52" t="n">
        <f aca="false">-J17/'Revenue Model'!J12*1000</f>
        <v>569.061517713311</v>
      </c>
      <c r="K26" s="52" t="n">
        <f aca="false">-K17/'Revenue Model'!K12*1000</f>
        <v>575.814717370366</v>
      </c>
      <c r="L26" s="52" t="n">
        <f aca="false">-L17/'Revenue Model'!L12*1000</f>
        <v>579.173815355268</v>
      </c>
    </row>
    <row r="27" customFormat="false" ht="15" hidden="false" customHeight="false" outlineLevel="0" collapsed="false">
      <c r="A27" s="48" t="s">
        <v>406</v>
      </c>
      <c r="B27" s="17" t="s">
        <v>105</v>
      </c>
      <c r="C27" s="50" t="n">
        <f aca="false">C18/'Revenue Model'!C12*1000</f>
        <v>419.899252669696</v>
      </c>
      <c r="D27" s="50" t="n">
        <f aca="false">D18/'Revenue Model'!D12*1000</f>
        <v>606.719500272691</v>
      </c>
      <c r="E27" s="50" t="n">
        <f aca="false">E18/'Revenue Model'!E12*1000</f>
        <v>193.218913455676</v>
      </c>
      <c r="F27" s="50" t="n">
        <f aca="false">F18/'Revenue Model'!F12*1000</f>
        <v>320.100308555526</v>
      </c>
      <c r="G27" s="50" t="n">
        <f aca="false">G18/'Revenue Model'!G12*1000</f>
        <v>340.598496857342</v>
      </c>
      <c r="H27" s="52" t="n">
        <f aca="false">H18/'Revenue Model'!H12*1000</f>
        <v>396.087550567876</v>
      </c>
      <c r="I27" s="52" t="n">
        <f aca="false">I18/'Revenue Model'!I12*1000</f>
        <v>311.845515768099</v>
      </c>
      <c r="J27" s="52" t="n">
        <f aca="false">J18/'Revenue Model'!J12*1000</f>
        <v>267.754833168264</v>
      </c>
      <c r="K27" s="52" t="n">
        <f aca="false">K18/'Revenue Model'!K12*1000</f>
        <v>261.946711166683</v>
      </c>
      <c r="L27" s="52" t="n">
        <f aca="false">L18/'Revenue Model'!L12*1000</f>
        <v>266.41562882942</v>
      </c>
    </row>
    <row r="28" customFormat="false" ht="15" hidden="false" customHeight="false" outlineLevel="0" collapsed="false">
      <c r="A28" s="19" t="s">
        <v>407</v>
      </c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</row>
    <row r="29" customFormat="false" ht="15" hidden="false" customHeight="false" outlineLevel="0" collapsed="false">
      <c r="A29" s="4" t="s">
        <v>408</v>
      </c>
      <c r="B29" s="17" t="s">
        <v>89</v>
      </c>
      <c r="C29" s="24" t="n">
        <v>3.141</v>
      </c>
      <c r="D29" s="24" t="n">
        <v>119.072</v>
      </c>
      <c r="E29" s="24" t="n">
        <v>22.05</v>
      </c>
      <c r="F29" s="24" t="n">
        <v>9.524</v>
      </c>
      <c r="G29" s="24" t="n">
        <v>35.527</v>
      </c>
      <c r="H29" s="38" t="n">
        <f aca="false">Scenarios!H63</f>
        <v>10</v>
      </c>
      <c r="I29" s="38" t="n">
        <f aca="false">Scenarios!I63</f>
        <v>5</v>
      </c>
      <c r="J29" s="38" t="n">
        <f aca="false">Scenarios!J63</f>
        <v>5</v>
      </c>
      <c r="K29" s="38" t="n">
        <f aca="false">Scenarios!K63</f>
        <v>5</v>
      </c>
      <c r="L29" s="38" t="n">
        <f aca="false">Scenarios!L63</f>
        <v>5</v>
      </c>
    </row>
    <row r="30" customFormat="false" ht="15" hidden="false" customHeight="false" outlineLevel="0" collapsed="false">
      <c r="A30" s="4" t="s">
        <v>409</v>
      </c>
      <c r="B30" s="17" t="s">
        <v>89</v>
      </c>
      <c r="C30" s="24" t="n">
        <v>14.588</v>
      </c>
      <c r="D30" s="24" t="n">
        <v>18.72</v>
      </c>
      <c r="E30" s="24" t="n">
        <v>16.125</v>
      </c>
      <c r="F30" s="24" t="n">
        <v>8.451</v>
      </c>
      <c r="G30" s="24" t="n">
        <v>9.5</v>
      </c>
      <c r="H30" s="38" t="n">
        <f aca="false">Scenarios!H65</f>
        <v>12</v>
      </c>
      <c r="I30" s="38" t="n">
        <f aca="false">Scenarios!I65</f>
        <v>10</v>
      </c>
      <c r="J30" s="38" t="n">
        <f aca="false">Scenarios!J65</f>
        <v>10</v>
      </c>
      <c r="K30" s="38" t="n">
        <f aca="false">Scenarios!K65</f>
        <v>10</v>
      </c>
      <c r="L30" s="38" t="n">
        <f aca="false">Scenarios!L65</f>
        <v>10</v>
      </c>
      <c r="M30" s="17" t="s">
        <v>410</v>
      </c>
    </row>
    <row r="31" customFormat="false" ht="15" hidden="false" customHeight="false" outlineLevel="0" collapsed="false">
      <c r="A31" s="4" t="s">
        <v>330</v>
      </c>
      <c r="B31" s="17" t="s">
        <v>89</v>
      </c>
      <c r="C31" s="24" t="n">
        <v>-154.764</v>
      </c>
      <c r="D31" s="24" t="n">
        <v>-165.651</v>
      </c>
      <c r="E31" s="24" t="n">
        <v>-136.047</v>
      </c>
      <c r="F31" s="24" t="n">
        <v>-143.998</v>
      </c>
      <c r="G31" s="24" t="n">
        <v>-153.578</v>
      </c>
      <c r="H31" s="43" t="n">
        <f aca="false">G31*(1+Scenarios!H66)</f>
        <v>-173.54314</v>
      </c>
      <c r="I31" s="43" t="n">
        <f aca="false">H31*(1+Scenarios!I66)</f>
        <v>-182.220297</v>
      </c>
      <c r="J31" s="43" t="n">
        <f aca="false">I31*(1+Scenarios!J66)</f>
        <v>-189.50910888</v>
      </c>
      <c r="K31" s="43" t="n">
        <f aca="false">J31*(1+Scenarios!K66)</f>
        <v>-197.0894732352</v>
      </c>
      <c r="L31" s="43" t="n">
        <f aca="false">K31*(1+Scenarios!L66)</f>
        <v>-204.973052164608</v>
      </c>
    </row>
    <row r="32" customFormat="false" ht="15" hidden="false" customHeight="false" outlineLevel="0" collapsed="false">
      <c r="A32" s="4" t="s">
        <v>411</v>
      </c>
      <c r="B32" s="17" t="s">
        <v>128</v>
      </c>
      <c r="C32" s="9" t="n">
        <f aca="false">-C31/C9</f>
        <v>0.0513748457649213</v>
      </c>
      <c r="D32" s="9" t="n">
        <f aca="false">-D31/D9</f>
        <v>0.0402754224152708</v>
      </c>
      <c r="E32" s="9" t="n">
        <f aca="false">-E31/E9</f>
        <v>0.0560104143379942</v>
      </c>
      <c r="F32" s="9" t="n">
        <f aca="false">-F31/F9</f>
        <v>0.0470880385237826</v>
      </c>
      <c r="G32" s="9" t="n">
        <f aca="false">-G31/G9</f>
        <v>0.045015794424218</v>
      </c>
      <c r="H32" s="40" t="n">
        <f aca="false">-H31/H9</f>
        <v>0.0445630122307553</v>
      </c>
      <c r="I32" s="40" t="n">
        <f aca="false">-I31/I9</f>
        <v>0.0488952526091767</v>
      </c>
      <c r="J32" s="40" t="n">
        <f aca="false">-J31/J9</f>
        <v>0.0506719488502303</v>
      </c>
      <c r="K32" s="40" t="n">
        <f aca="false">-K31/K9</f>
        <v>0.0506147858859467</v>
      </c>
      <c r="L32" s="40" t="n">
        <f aca="false">-L31/L9</f>
        <v>0.0503884734958611</v>
      </c>
    </row>
    <row r="33" customFormat="false" ht="15" hidden="false" customHeight="false" outlineLevel="0" collapsed="false">
      <c r="A33" s="4" t="s">
        <v>193</v>
      </c>
      <c r="B33" s="17" t="s">
        <v>89</v>
      </c>
      <c r="C33" s="24" t="n">
        <v>-4.493</v>
      </c>
      <c r="D33" s="24" t="n">
        <v>-5.383</v>
      </c>
      <c r="E33" s="24" t="n">
        <v>-4.085</v>
      </c>
      <c r="F33" s="24" t="n">
        <v>-0.952</v>
      </c>
      <c r="G33" s="24" t="n">
        <v>-5.686</v>
      </c>
      <c r="H33" s="43" t="n">
        <f aca="false">-Scenarios!H67</f>
        <v>-4</v>
      </c>
      <c r="I33" s="43" t="n">
        <f aca="false">-Scenarios!I67</f>
        <v>-4</v>
      </c>
      <c r="J33" s="43" t="n">
        <f aca="false">-Scenarios!J67</f>
        <v>-4</v>
      </c>
      <c r="K33" s="43" t="n">
        <f aca="false">-Scenarios!K67</f>
        <v>-4</v>
      </c>
      <c r="L33" s="43" t="n">
        <f aca="false">-Scenarios!L67</f>
        <v>-4</v>
      </c>
    </row>
    <row r="34" customFormat="false" ht="15" hidden="false" customHeight="false" outlineLevel="0" collapsed="false">
      <c r="A34" s="13" t="s">
        <v>412</v>
      </c>
      <c r="B34" s="17" t="s">
        <v>89</v>
      </c>
      <c r="C34" s="46" t="n">
        <f aca="false">C18+C29+C30+C31+C33</f>
        <v>1177.845</v>
      </c>
      <c r="D34" s="46" t="n">
        <f aca="false">D18+D29+D30+D31+D33</f>
        <v>1945.84</v>
      </c>
      <c r="E34" s="46" t="n">
        <f aca="false">E18+E29+E30+E31+E33</f>
        <v>521.077</v>
      </c>
      <c r="F34" s="46" t="n">
        <f aca="false">F18+F29+F30+F31+F33</f>
        <v>1015.842</v>
      </c>
      <c r="G34" s="46" t="n">
        <f aca="false">G18+G29+G30+G31+G33</f>
        <v>1196.229</v>
      </c>
      <c r="H34" s="47" t="n">
        <f aca="false">H18+H29+H30+H31+H33</f>
        <v>1450.0848062705</v>
      </c>
      <c r="I34" s="47" t="n">
        <f aca="false">I18+I29+I30+I31+I33</f>
        <v>1156.12076190087</v>
      </c>
      <c r="J34" s="47" t="n">
        <f aca="false">J18+J29+J30+J31+J33</f>
        <v>1018.14777442778</v>
      </c>
      <c r="K34" s="47" t="n">
        <f aca="false">K18+K29+K30+K31+K33</f>
        <v>1031.43756266961</v>
      </c>
      <c r="L34" s="47" t="n">
        <f aca="false">L18+L29+L30+L31+L33</f>
        <v>1087.66594025943</v>
      </c>
    </row>
    <row r="35" customFormat="false" ht="15" hidden="false" customHeight="false" outlineLevel="0" collapsed="false">
      <c r="A35" s="4" t="s">
        <v>413</v>
      </c>
      <c r="B35" s="17" t="s">
        <v>128</v>
      </c>
      <c r="C35" s="9" t="n">
        <f aca="false">C34/C9</f>
        <v>0.39099277099315</v>
      </c>
      <c r="D35" s="9" t="n">
        <f aca="false">D34/D9</f>
        <v>0.473100240581285</v>
      </c>
      <c r="E35" s="9" t="n">
        <f aca="false">E34/E9</f>
        <v>0.214526881680588</v>
      </c>
      <c r="F35" s="9" t="n">
        <f aca="false">F34/F9</f>
        <v>0.332185219448022</v>
      </c>
      <c r="G35" s="9" t="n">
        <f aca="false">G34/G9</f>
        <v>0.350630941595071</v>
      </c>
      <c r="H35" s="40" t="n">
        <f aca="false">H34/H9</f>
        <v>0.372357829629363</v>
      </c>
      <c r="I35" s="40" t="n">
        <f aca="false">I34/I9</f>
        <v>0.310222393611054</v>
      </c>
      <c r="J35" s="40" t="n">
        <f aca="false">J34/J9</f>
        <v>0.272237742305299</v>
      </c>
      <c r="K35" s="40" t="n">
        <f aca="false">K34/K9</f>
        <v>0.264884727389495</v>
      </c>
      <c r="L35" s="40" t="n">
        <f aca="false">L34/L9</f>
        <v>0.267380642598327</v>
      </c>
    </row>
    <row r="36" customFormat="false" ht="15" hidden="false" customHeight="false" outlineLevel="0" collapsed="false">
      <c r="A36" s="4" t="s">
        <v>414</v>
      </c>
      <c r="B36" s="17" t="s">
        <v>89</v>
      </c>
      <c r="C36" s="24" t="n">
        <v>79.239</v>
      </c>
      <c r="D36" s="24" t="n">
        <v>88.312</v>
      </c>
      <c r="E36" s="24" t="n">
        <v>99.973</v>
      </c>
      <c r="F36" s="24" t="n">
        <v>110.999</v>
      </c>
      <c r="G36" s="24" t="n">
        <v>116.014</v>
      </c>
      <c r="H36" s="43" t="n">
        <f aca="false">Scenarios!H76*'Balance Sheet'!G6</f>
        <v>114.77504</v>
      </c>
      <c r="I36" s="43" t="n">
        <f aca="false">Scenarios!I76*'Balance Sheet'!H6</f>
        <v>111.49983744</v>
      </c>
      <c r="J36" s="43" t="n">
        <f aca="false">Scenarios!J76*'Balance Sheet'!I6</f>
        <v>129.86144784384</v>
      </c>
      <c r="K36" s="43" t="n">
        <f aca="false">Scenarios!K76*'Balance Sheet'!J6</f>
        <v>150.478315181834</v>
      </c>
      <c r="L36" s="43" t="n">
        <f aca="false">Scenarios!L76*'Balance Sheet'!K6</f>
        <v>149.364823010197</v>
      </c>
      <c r="M36" s="17" t="s">
        <v>415</v>
      </c>
    </row>
    <row r="37" customFormat="false" ht="15" hidden="false" customHeight="false" outlineLevel="0" collapsed="false">
      <c r="A37" s="4" t="s">
        <v>416</v>
      </c>
      <c r="B37" s="17" t="s">
        <v>89</v>
      </c>
      <c r="C37" s="24" t="n">
        <v>52.135</v>
      </c>
      <c r="D37" s="24" t="n">
        <v>57.332</v>
      </c>
      <c r="E37" s="24" t="n">
        <v>58.788</v>
      </c>
      <c r="F37" s="24" t="n">
        <v>52.913</v>
      </c>
      <c r="G37" s="24" t="n">
        <v>64.231</v>
      </c>
      <c r="H37" s="43" t="n">
        <f aca="false">Scenarios!H77*'Balance Sheet'!G7</f>
        <v>68.49024</v>
      </c>
      <c r="I37" s="43" t="n">
        <f aca="false">Scenarios!I77*'Balance Sheet'!H7</f>
        <v>68.8072896</v>
      </c>
      <c r="J37" s="43" t="n">
        <f aca="false">Scenarios!J77*'Balance Sheet'!I7</f>
        <v>70.107758784</v>
      </c>
      <c r="K37" s="43" t="n">
        <f aca="false">Scenarios!K77*'Balance Sheet'!J7</f>
        <v>71.13512943936</v>
      </c>
      <c r="L37" s="43" t="n">
        <f aca="false">Scenarios!L77*'Balance Sheet'!K7</f>
        <v>71.9467522570944</v>
      </c>
    </row>
    <row r="38" customFormat="false" ht="15" hidden="false" customHeight="false" outlineLevel="0" collapsed="false">
      <c r="A38" s="4" t="s">
        <v>417</v>
      </c>
      <c r="B38" s="17" t="s">
        <v>89</v>
      </c>
      <c r="C38" s="25" t="n">
        <f aca="false">C36+C37</f>
        <v>131.374</v>
      </c>
      <c r="D38" s="25" t="n">
        <f aca="false">D36+D37</f>
        <v>145.644</v>
      </c>
      <c r="E38" s="25" t="n">
        <f aca="false">E36+E37</f>
        <v>158.761</v>
      </c>
      <c r="F38" s="25" t="n">
        <f aca="false">F36+F37</f>
        <v>163.912</v>
      </c>
      <c r="G38" s="25" t="n">
        <f aca="false">G36+G37</f>
        <v>180.245</v>
      </c>
      <c r="H38" s="43" t="n">
        <f aca="false">H36+H37</f>
        <v>183.26528</v>
      </c>
      <c r="I38" s="43" t="n">
        <f aca="false">I36+I37</f>
        <v>180.30712704</v>
      </c>
      <c r="J38" s="43" t="n">
        <f aca="false">J36+J37</f>
        <v>199.96920662784</v>
      </c>
      <c r="K38" s="43" t="n">
        <f aca="false">K36+K37</f>
        <v>221.613444621194</v>
      </c>
      <c r="L38" s="43" t="n">
        <f aca="false">L36+L37</f>
        <v>221.311575267291</v>
      </c>
    </row>
    <row r="39" customFormat="false" ht="15" hidden="false" customHeight="false" outlineLevel="0" collapsed="false">
      <c r="A39" s="13" t="s">
        <v>418</v>
      </c>
      <c r="B39" s="17" t="s">
        <v>89</v>
      </c>
      <c r="C39" s="46" t="n">
        <f aca="false">C34+C38</f>
        <v>1309.219</v>
      </c>
      <c r="D39" s="46" t="n">
        <f aca="false">D34+D38</f>
        <v>2091.484</v>
      </c>
      <c r="E39" s="46" t="n">
        <f aca="false">E34+E38</f>
        <v>679.838</v>
      </c>
      <c r="F39" s="46" t="n">
        <f aca="false">F34+F38</f>
        <v>1179.754</v>
      </c>
      <c r="G39" s="46" t="n">
        <f aca="false">G34+G38</f>
        <v>1376.474</v>
      </c>
      <c r="H39" s="47" t="n">
        <f aca="false">H34+H38</f>
        <v>1633.3500862705</v>
      </c>
      <c r="I39" s="47" t="n">
        <f aca="false">I34+I38</f>
        <v>1336.42788894087</v>
      </c>
      <c r="J39" s="47" t="n">
        <f aca="false">J34+J38</f>
        <v>1218.11698105562</v>
      </c>
      <c r="K39" s="47" t="n">
        <f aca="false">K34+K38</f>
        <v>1253.0510072908</v>
      </c>
      <c r="L39" s="47" t="n">
        <f aca="false">L34+L38</f>
        <v>1308.97751552673</v>
      </c>
    </row>
    <row r="40" customFormat="false" ht="15" hidden="false" customHeight="false" outlineLevel="0" collapsed="false">
      <c r="A40" s="4" t="s">
        <v>419</v>
      </c>
      <c r="B40" s="17" t="s">
        <v>128</v>
      </c>
      <c r="C40" s="9" t="n">
        <f aca="false">C39/C9</f>
        <v>0.434603164802568</v>
      </c>
      <c r="D40" s="9" t="n">
        <f aca="false">D39/D9</f>
        <v>0.508511277171766</v>
      </c>
      <c r="E40" s="9" t="n">
        <f aca="false">E39/E9</f>
        <v>0.279888627185556</v>
      </c>
      <c r="F40" s="9" t="n">
        <f aca="false">F39/F9</f>
        <v>0.385785231743403</v>
      </c>
      <c r="G40" s="9" t="n">
        <f aca="false">G39/G9</f>
        <v>0.403463195342308</v>
      </c>
      <c r="H40" s="40" t="n">
        <f aca="false">H39/H9</f>
        <v>0.419417326847823</v>
      </c>
      <c r="I40" s="40" t="n">
        <f aca="false">I39/I9</f>
        <v>0.358604284481617</v>
      </c>
      <c r="J40" s="40" t="n">
        <f aca="false">J39/J9</f>
        <v>0.325706567470232</v>
      </c>
      <c r="K40" s="40" t="n">
        <f aca="false">K39/K9</f>
        <v>0.321797544014475</v>
      </c>
      <c r="L40" s="40" t="n">
        <f aca="false">L39/L9</f>
        <v>0.321785611090125</v>
      </c>
    </row>
    <row r="41" customFormat="false" ht="15" hidden="false" customHeight="false" outlineLevel="0" collapsed="false">
      <c r="A41" s="4" t="s">
        <v>420</v>
      </c>
      <c r="B41" s="17" t="s">
        <v>89</v>
      </c>
      <c r="C41" s="24" t="n">
        <v>15.578</v>
      </c>
      <c r="D41" s="24" t="n">
        <v>21.706</v>
      </c>
      <c r="E41" s="24" t="n">
        <v>20.013</v>
      </c>
      <c r="F41" s="24" t="n">
        <v>24.503</v>
      </c>
      <c r="G41" s="24" t="n">
        <v>31.08</v>
      </c>
      <c r="H41" s="43" t="n">
        <f aca="false">G41*(1+Scenarios!H69)</f>
        <v>36.0528</v>
      </c>
      <c r="I41" s="43" t="n">
        <f aca="false">H41*(1+Scenarios!I69)</f>
        <v>37.494912</v>
      </c>
      <c r="J41" s="43" t="n">
        <f aca="false">I41*(1+Scenarios!J69)</f>
        <v>38.61975936</v>
      </c>
      <c r="K41" s="43" t="n">
        <f aca="false">J41*(1+Scenarios!K69)</f>
        <v>39.7783521408</v>
      </c>
      <c r="L41" s="43" t="n">
        <f aca="false">K41*(1+Scenarios!L69)</f>
        <v>40.971702705024</v>
      </c>
    </row>
    <row r="42" customFormat="false" ht="15" hidden="false" customHeight="false" outlineLevel="0" collapsed="false">
      <c r="A42" s="4" t="s">
        <v>421</v>
      </c>
      <c r="B42" s="17" t="s">
        <v>89</v>
      </c>
      <c r="C42" s="24" t="n">
        <v>0.368</v>
      </c>
      <c r="D42" s="24" t="n">
        <v>0.461</v>
      </c>
      <c r="E42" s="24" t="n">
        <v>-0.213</v>
      </c>
      <c r="F42" s="24" t="n">
        <v>1.878</v>
      </c>
      <c r="G42" s="24" t="n">
        <v>1.679</v>
      </c>
      <c r="H42" s="38" t="n">
        <f aca="false">Scenarios!H70</f>
        <v>1.5</v>
      </c>
      <c r="I42" s="38" t="n">
        <f aca="false">Scenarios!I70</f>
        <v>1.5</v>
      </c>
      <c r="J42" s="38" t="n">
        <f aca="false">Scenarios!J70</f>
        <v>1.5</v>
      </c>
      <c r="K42" s="38" t="n">
        <f aca="false">Scenarios!K70</f>
        <v>1.5</v>
      </c>
      <c r="L42" s="38" t="n">
        <f aca="false">Scenarios!L70</f>
        <v>1.5</v>
      </c>
    </row>
    <row r="43" customFormat="false" ht="15" hidden="false" customHeight="false" outlineLevel="0" collapsed="false">
      <c r="A43" s="13" t="s">
        <v>422</v>
      </c>
      <c r="B43" s="17" t="s">
        <v>89</v>
      </c>
      <c r="C43" s="46" t="n">
        <f aca="false">C34+C41+C42</f>
        <v>1193.791</v>
      </c>
      <c r="D43" s="46" t="n">
        <f aca="false">D34+D41+D42</f>
        <v>1968.007</v>
      </c>
      <c r="E43" s="46" t="n">
        <f aca="false">E34+E41+E42</f>
        <v>540.877</v>
      </c>
      <c r="F43" s="46" t="n">
        <f aca="false">F34+F41+F42</f>
        <v>1042.223</v>
      </c>
      <c r="G43" s="46" t="n">
        <f aca="false">G34+G41+G42</f>
        <v>1228.988</v>
      </c>
      <c r="H43" s="47" t="n">
        <f aca="false">H34+H41+H42</f>
        <v>1487.6376062705</v>
      </c>
      <c r="I43" s="47" t="n">
        <f aca="false">I34+I41+I42</f>
        <v>1195.11567390087</v>
      </c>
      <c r="J43" s="47" t="n">
        <f aca="false">J34+J41+J42</f>
        <v>1058.26753378778</v>
      </c>
      <c r="K43" s="47" t="n">
        <f aca="false">K34+K41+K42</f>
        <v>1072.71591481041</v>
      </c>
      <c r="L43" s="47" t="n">
        <f aca="false">L34+L41+L42</f>
        <v>1130.13764296446</v>
      </c>
      <c r="M43" s="17" t="s">
        <v>423</v>
      </c>
    </row>
    <row r="44" customFormat="false" ht="15" hidden="false" customHeight="false" outlineLevel="0" collapsed="false">
      <c r="A44" s="4" t="s">
        <v>424</v>
      </c>
      <c r="B44" s="17" t="s">
        <v>89</v>
      </c>
      <c r="C44" s="24" t="n">
        <v>6.538</v>
      </c>
      <c r="D44" s="24" t="n">
        <v>22.527</v>
      </c>
      <c r="E44" s="24" t="n">
        <v>31.29</v>
      </c>
      <c r="F44" s="24" t="n">
        <v>27.027</v>
      </c>
      <c r="G44" s="24" t="n">
        <v>37.831</v>
      </c>
      <c r="H44" s="43" t="n">
        <f aca="false">Scenarios!H62*('Balance Sheet'!G22+'Balance Sheet'!G21+'Balance Sheet'!G20)</f>
        <v>33.20149</v>
      </c>
      <c r="I44" s="43" t="n">
        <f aca="false">Scenarios!I62*('Balance Sheet'!H22+'Balance Sheet'!H21+'Balance Sheet'!H20)</f>
        <v>30.7854562309372</v>
      </c>
      <c r="J44" s="43" t="n">
        <f aca="false">Scenarios!J62*('Balance Sheet'!I22+'Balance Sheet'!I21+'Balance Sheet'!I20)</f>
        <v>28.4609146882271</v>
      </c>
      <c r="K44" s="43" t="n">
        <f aca="false">Scenarios!K62*('Balance Sheet'!J22+'Balance Sheet'!J21+'Balance Sheet'!J20)</f>
        <v>27.3340536232667</v>
      </c>
      <c r="L44" s="43" t="n">
        <f aca="false">Scenarios!L62*('Balance Sheet'!K22+'Balance Sheet'!K21+'Balance Sheet'!K20)</f>
        <v>32.9253886673729</v>
      </c>
    </row>
    <row r="45" customFormat="false" ht="15" hidden="false" customHeight="false" outlineLevel="0" collapsed="false">
      <c r="A45" s="4" t="s">
        <v>425</v>
      </c>
      <c r="B45" s="17" t="s">
        <v>89</v>
      </c>
      <c r="C45" s="24" t="n">
        <v>-15.663</v>
      </c>
      <c r="D45" s="24" t="n">
        <v>-17.492</v>
      </c>
      <c r="E45" s="24" t="n">
        <v>-18.753</v>
      </c>
      <c r="F45" s="24" t="n">
        <v>-15.676</v>
      </c>
      <c r="G45" s="24" t="n">
        <v>-15.55</v>
      </c>
      <c r="H45" s="43" t="n">
        <f aca="false">-Scenarios!H68*('Balance Sheet'!G51+'Balance Sheet'!G29+'Balance Sheet'!G35)</f>
        <v>-13.942578</v>
      </c>
      <c r="I45" s="43" t="n">
        <f aca="false">-Scenarios!I68*('Balance Sheet'!H51+'Balance Sheet'!H29+'Balance Sheet'!H35)</f>
        <v>-14.1297110416</v>
      </c>
      <c r="J45" s="43" t="n">
        <f aca="false">-Scenarios!J68*('Balance Sheet'!I51+'Balance Sheet'!I29+'Balance Sheet'!I35)</f>
        <v>-12.750951974464</v>
      </c>
      <c r="K45" s="43" t="n">
        <f aca="false">-Scenarios!K68*('Balance Sheet'!J51+'Balance Sheet'!J29+'Balance Sheet'!J35)</f>
        <v>-12.5995623114266</v>
      </c>
      <c r="L45" s="43" t="n">
        <f aca="false">-Scenarios!L68*('Balance Sheet'!K51+'Balance Sheet'!K29+'Balance Sheet'!K35)</f>
        <v>-12.398694477627</v>
      </c>
    </row>
    <row r="46" customFormat="false" ht="15" hidden="false" customHeight="false" outlineLevel="0" collapsed="false">
      <c r="A46" s="13" t="s">
        <v>335</v>
      </c>
      <c r="B46" s="17" t="s">
        <v>89</v>
      </c>
      <c r="C46" s="46" t="n">
        <f aca="false">C43+C44+C45</f>
        <v>1184.666</v>
      </c>
      <c r="D46" s="46" t="n">
        <f aca="false">D43+D44+D45</f>
        <v>1973.042</v>
      </c>
      <c r="E46" s="46" t="n">
        <f aca="false">E43+E44+E45</f>
        <v>553.414</v>
      </c>
      <c r="F46" s="46" t="n">
        <f aca="false">F43+F44+F45</f>
        <v>1053.574</v>
      </c>
      <c r="G46" s="46" t="n">
        <f aca="false">G43+G44+G45</f>
        <v>1251.269</v>
      </c>
      <c r="H46" s="47" t="n">
        <f aca="false">H43+H44+H45</f>
        <v>1506.8965182705</v>
      </c>
      <c r="I46" s="47" t="n">
        <f aca="false">I43+I44+I45</f>
        <v>1211.77141909021</v>
      </c>
      <c r="J46" s="47" t="n">
        <f aca="false">J43+J44+J45</f>
        <v>1073.97749650154</v>
      </c>
      <c r="K46" s="47" t="n">
        <f aca="false">K43+K44+K45</f>
        <v>1087.45040612225</v>
      </c>
      <c r="L46" s="47" t="n">
        <f aca="false">L43+L44+L45</f>
        <v>1150.6643371542</v>
      </c>
    </row>
    <row r="47" customFormat="false" ht="15" hidden="false" customHeight="false" outlineLevel="0" collapsed="false">
      <c r="A47" s="4" t="s">
        <v>336</v>
      </c>
      <c r="B47" s="17" t="s">
        <v>89</v>
      </c>
      <c r="C47" s="24" t="n">
        <v>-17.487</v>
      </c>
      <c r="D47" s="24" t="n">
        <v>-23.235</v>
      </c>
      <c r="E47" s="24" t="n">
        <v>-17.24</v>
      </c>
      <c r="F47" s="24" t="n">
        <v>-19.232</v>
      </c>
      <c r="G47" s="24" t="n">
        <v>-20.867</v>
      </c>
      <c r="H47" s="43" t="n">
        <f aca="false">-H46*Scenarios!H72</f>
        <v>-25.6172408105985</v>
      </c>
      <c r="I47" s="43" t="n">
        <f aca="false">-I46*Scenarios!I72</f>
        <v>-20.6001141245336</v>
      </c>
      <c r="J47" s="43" t="n">
        <f aca="false">-J46*Scenarios!J72</f>
        <v>-18.2576174405262</v>
      </c>
      <c r="K47" s="43" t="n">
        <f aca="false">-K46*Scenarios!K72</f>
        <v>-18.4866569040783</v>
      </c>
      <c r="L47" s="43" t="n">
        <f aca="false">-L46*Scenarios!L72</f>
        <v>-19.5612937316215</v>
      </c>
    </row>
    <row r="48" customFormat="false" ht="15" hidden="false" customHeight="false" outlineLevel="0" collapsed="false">
      <c r="A48" s="4" t="s">
        <v>426</v>
      </c>
      <c r="B48" s="17" t="s">
        <v>128</v>
      </c>
      <c r="C48" s="9" t="n">
        <f aca="false">-C47/C46</f>
        <v>0.0147611225442445</v>
      </c>
      <c r="D48" s="9" t="n">
        <f aca="false">-D47/D46</f>
        <v>0.0117762318288207</v>
      </c>
      <c r="E48" s="9" t="n">
        <f aca="false">-E47/E46</f>
        <v>0.0311520850574796</v>
      </c>
      <c r="F48" s="9" t="n">
        <f aca="false">-F47/F46</f>
        <v>0.0182540571426402</v>
      </c>
      <c r="G48" s="9" t="n">
        <f aca="false">-G47/G46</f>
        <v>0.0166766698447736</v>
      </c>
      <c r="H48" s="40" t="n">
        <f aca="false">-H47/H46</f>
        <v>0.017</v>
      </c>
      <c r="I48" s="40" t="n">
        <f aca="false">-I47/I46</f>
        <v>0.017</v>
      </c>
      <c r="J48" s="40" t="n">
        <f aca="false">-J47/J46</f>
        <v>0.017</v>
      </c>
      <c r="K48" s="40" t="n">
        <f aca="false">-K47/K46</f>
        <v>0.017</v>
      </c>
      <c r="L48" s="40" t="n">
        <f aca="false">-L47/L46</f>
        <v>0.017</v>
      </c>
    </row>
    <row r="49" customFormat="false" ht="15" hidden="false" customHeight="false" outlineLevel="0" collapsed="false">
      <c r="A49" s="13" t="s">
        <v>427</v>
      </c>
      <c r="B49" s="17" t="s">
        <v>89</v>
      </c>
      <c r="C49" s="46" t="n">
        <f aca="false">C46+C47</f>
        <v>1167.179</v>
      </c>
      <c r="D49" s="46" t="n">
        <f aca="false">D46+D47</f>
        <v>1949.807</v>
      </c>
      <c r="E49" s="46" t="n">
        <f aca="false">E46+E47</f>
        <v>536.174</v>
      </c>
      <c r="F49" s="46" t="n">
        <f aca="false">F46+F47</f>
        <v>1034.342</v>
      </c>
      <c r="G49" s="46" t="n">
        <f aca="false">G46+G47</f>
        <v>1230.402</v>
      </c>
      <c r="H49" s="47" t="n">
        <f aca="false">H46+H47</f>
        <v>1481.2792774599</v>
      </c>
      <c r="I49" s="47" t="n">
        <f aca="false">I46+I47</f>
        <v>1191.17130496568</v>
      </c>
      <c r="J49" s="47" t="n">
        <f aca="false">J46+J47</f>
        <v>1055.71987906102</v>
      </c>
      <c r="K49" s="47" t="n">
        <f aca="false">K46+K47</f>
        <v>1068.96374921817</v>
      </c>
      <c r="L49" s="47" t="n">
        <f aca="false">L46+L47</f>
        <v>1131.10304342258</v>
      </c>
    </row>
    <row r="50" customFormat="false" ht="15" hidden="false" customHeight="false" outlineLevel="0" collapsed="false">
      <c r="A50" s="4" t="s">
        <v>428</v>
      </c>
      <c r="B50" s="17" t="s">
        <v>128</v>
      </c>
      <c r="C50" s="9" t="n">
        <f aca="false">C49/C9</f>
        <v>0.387452127788472</v>
      </c>
      <c r="D50" s="9" t="n">
        <f aca="false">D49/D9</f>
        <v>0.47406475392996</v>
      </c>
      <c r="E50" s="9" t="n">
        <f aca="false">E49/E9</f>
        <v>0.220742301537408</v>
      </c>
      <c r="F50" s="9" t="n">
        <f aca="false">F49/F9</f>
        <v>0.338234808419327</v>
      </c>
      <c r="G50" s="9" t="n">
        <f aca="false">G49/G9</f>
        <v>0.360647511304657</v>
      </c>
      <c r="H50" s="40" t="n">
        <f aca="false">H49/H9</f>
        <v>0.380368054643992</v>
      </c>
      <c r="I50" s="40" t="n">
        <f aca="false">I49/I9</f>
        <v>0.319627521280461</v>
      </c>
      <c r="J50" s="40" t="n">
        <f aca="false">J49/J9</f>
        <v>0.282283970560092</v>
      </c>
      <c r="K50" s="40" t="n">
        <f aca="false">K49/K9</f>
        <v>0.274521872722999</v>
      </c>
      <c r="L50" s="40" t="n">
        <f aca="false">L49/L9</f>
        <v>0.27805877466671</v>
      </c>
    </row>
    <row r="51" customFormat="false" ht="15" hidden="false" customHeight="false" outlineLevel="0" collapsed="false">
      <c r="A51" s="4" t="s">
        <v>338</v>
      </c>
      <c r="B51" s="17" t="s">
        <v>89</v>
      </c>
      <c r="C51" s="24" t="n">
        <v>-4.465</v>
      </c>
      <c r="D51" s="24" t="n">
        <v>-5.382</v>
      </c>
      <c r="E51" s="24" t="n">
        <v>-4.781</v>
      </c>
      <c r="F51" s="24" t="n">
        <v>-6.017</v>
      </c>
      <c r="G51" s="24" t="n">
        <v>-7.515</v>
      </c>
      <c r="H51" s="43" t="n">
        <f aca="false">-H49*Scenarios!H73</f>
        <v>-8.88767566475941</v>
      </c>
      <c r="I51" s="43" t="n">
        <f aca="false">-I49*Scenarios!I73</f>
        <v>-7.14702782979406</v>
      </c>
      <c r="J51" s="43" t="n">
        <f aca="false">-J49*Scenarios!J73</f>
        <v>-6.33431927436609</v>
      </c>
      <c r="K51" s="43" t="n">
        <f aca="false">-K49*Scenarios!K73</f>
        <v>-6.41378249530903</v>
      </c>
      <c r="L51" s="43" t="n">
        <f aca="false">-L49*Scenarios!L73</f>
        <v>-6.78661826053549</v>
      </c>
    </row>
    <row r="52" customFormat="false" ht="15" hidden="false" customHeight="false" outlineLevel="0" collapsed="false">
      <c r="A52" s="13" t="s">
        <v>339</v>
      </c>
      <c r="B52" s="17" t="s">
        <v>89</v>
      </c>
      <c r="C52" s="46" t="n">
        <f aca="false">C49+C51</f>
        <v>1162.714</v>
      </c>
      <c r="D52" s="46" t="n">
        <f aca="false">D49+D51</f>
        <v>1944.425</v>
      </c>
      <c r="E52" s="46" t="n">
        <f aca="false">E49+E51</f>
        <v>531.393</v>
      </c>
      <c r="F52" s="46" t="n">
        <f aca="false">F49+F51</f>
        <v>1028.325</v>
      </c>
      <c r="G52" s="46" t="n">
        <f aca="false">G49+G51</f>
        <v>1222.887</v>
      </c>
      <c r="H52" s="47" t="n">
        <f aca="false">H49+H51</f>
        <v>1472.39160179514</v>
      </c>
      <c r="I52" s="47" t="n">
        <f aca="false">I49+I51</f>
        <v>1184.02427713588</v>
      </c>
      <c r="J52" s="47" t="n">
        <f aca="false">J49+J51</f>
        <v>1049.38555978665</v>
      </c>
      <c r="K52" s="47" t="n">
        <f aca="false">K49+K51</f>
        <v>1062.54996672286</v>
      </c>
      <c r="L52" s="47" t="n">
        <f aca="false">L49+L51</f>
        <v>1124.31642516205</v>
      </c>
    </row>
    <row r="53" customFormat="false" ht="15" hidden="false" customHeight="false" outlineLevel="0" collapsed="false">
      <c r="A53" s="4" t="s">
        <v>368</v>
      </c>
      <c r="B53" s="17" t="s">
        <v>128</v>
      </c>
      <c r="D53" s="9" t="n">
        <f aca="false">D52/C52-1</f>
        <v>0.67231580595056</v>
      </c>
      <c r="E53" s="9" t="n">
        <f aca="false">E52/D52-1</f>
        <v>-0.726709438522957</v>
      </c>
      <c r="F53" s="9" t="n">
        <f aca="false">F52/E52-1</f>
        <v>0.935149691471285</v>
      </c>
      <c r="G53" s="9" t="n">
        <f aca="false">G52/F52-1</f>
        <v>0.18920282984465</v>
      </c>
      <c r="H53" s="40" t="n">
        <f aca="false">H52/G52-1</f>
        <v>0.204029155429032</v>
      </c>
      <c r="I53" s="40" t="n">
        <f aca="false">I52/H52-1</f>
        <v>-0.195849612499611</v>
      </c>
      <c r="J53" s="40" t="n">
        <f aca="false">J52/I52-1</f>
        <v>-0.113712801290629</v>
      </c>
      <c r="K53" s="40" t="n">
        <f aca="false">K52/J52-1</f>
        <v>0.0125448714378065</v>
      </c>
      <c r="L53" s="40" t="n">
        <f aca="false">L52/K52-1</f>
        <v>0.0581304036267443</v>
      </c>
    </row>
    <row r="54" customFormat="false" ht="15" hidden="false" customHeight="false" outlineLevel="0" collapsed="false">
      <c r="A54" s="19" t="s">
        <v>429</v>
      </c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</row>
    <row r="55" customFormat="false" ht="15" hidden="false" customHeight="false" outlineLevel="0" collapsed="false">
      <c r="A55" s="4" t="s">
        <v>430</v>
      </c>
      <c r="B55" s="17" t="s">
        <v>81</v>
      </c>
      <c r="C55" s="24" t="n">
        <v>2660.792</v>
      </c>
      <c r="D55" s="24" t="n">
        <v>2654.356</v>
      </c>
      <c r="E55" s="24" t="n">
        <v>2647.319</v>
      </c>
      <c r="F55" s="24" t="n">
        <v>2645.299</v>
      </c>
      <c r="G55" s="24" t="n">
        <v>2655.241</v>
      </c>
      <c r="H55" s="38" t="n">
        <f aca="false">Scenarios!H99</f>
        <v>2672</v>
      </c>
      <c r="I55" s="38" t="n">
        <f aca="false">Scenarios!I99</f>
        <v>2680</v>
      </c>
      <c r="J55" s="38" t="n">
        <f aca="false">Scenarios!J99</f>
        <v>2688</v>
      </c>
      <c r="K55" s="38" t="n">
        <f aca="false">Scenarios!K99</f>
        <v>2696</v>
      </c>
      <c r="L55" s="38" t="n">
        <f aca="false">Scenarios!L99</f>
        <v>2704</v>
      </c>
      <c r="M55" s="17" t="s">
        <v>431</v>
      </c>
    </row>
    <row r="56" customFormat="false" ht="15" hidden="false" customHeight="false" outlineLevel="0" collapsed="false">
      <c r="A56" s="4" t="s">
        <v>432</v>
      </c>
      <c r="B56" s="17" t="s">
        <v>81</v>
      </c>
      <c r="C56" s="24" t="n">
        <v>2683.105</v>
      </c>
      <c r="D56" s="24" t="n">
        <v>2683.157</v>
      </c>
      <c r="E56" s="24" t="n">
        <v>2683.11</v>
      </c>
      <c r="F56" s="24" t="n">
        <v>2684.192</v>
      </c>
      <c r="G56" s="24" t="n">
        <v>2695.624</v>
      </c>
      <c r="H56" s="43" t="n">
        <f aca="false">H55+Scenarios!H100</f>
        <v>2706</v>
      </c>
      <c r="I56" s="43" t="n">
        <f aca="false">I55+Scenarios!I100</f>
        <v>2714</v>
      </c>
      <c r="J56" s="43" t="n">
        <f aca="false">J55+Scenarios!J100</f>
        <v>2722</v>
      </c>
      <c r="K56" s="43" t="n">
        <f aca="false">K55+Scenarios!K100</f>
        <v>2730</v>
      </c>
      <c r="L56" s="43" t="n">
        <f aca="false">L55+Scenarios!L100</f>
        <v>2738</v>
      </c>
    </row>
    <row r="57" customFormat="false" ht="15" hidden="false" customHeight="false" outlineLevel="0" collapsed="false">
      <c r="A57" s="4" t="s">
        <v>433</v>
      </c>
      <c r="B57" s="17" t="s">
        <v>434</v>
      </c>
      <c r="C57" s="61" t="n">
        <f aca="false">C52/C55</f>
        <v>0.436980417860547</v>
      </c>
      <c r="D57" s="61" t="n">
        <f aca="false">D52/D55</f>
        <v>0.732541151224628</v>
      </c>
      <c r="E57" s="61" t="n">
        <f aca="false">E52/E55</f>
        <v>0.200728737262113</v>
      </c>
      <c r="F57" s="61" t="n">
        <f aca="false">F52/F55</f>
        <v>0.388736774179403</v>
      </c>
      <c r="G57" s="61" t="n">
        <f aca="false">G52/G55</f>
        <v>0.460555934470732</v>
      </c>
      <c r="H57" s="62" t="n">
        <f aca="false">H52/H55</f>
        <v>0.551044761150877</v>
      </c>
      <c r="I57" s="62" t="n">
        <f aca="false">I52/I55</f>
        <v>0.441800103408911</v>
      </c>
      <c r="J57" s="62" t="n">
        <f aca="false">J52/J55</f>
        <v>0.390396413611105</v>
      </c>
      <c r="K57" s="62" t="n">
        <f aca="false">K52/K55</f>
        <v>0.394120907538154</v>
      </c>
      <c r="L57" s="62" t="n">
        <f aca="false">L52/L55</f>
        <v>0.415797494512591</v>
      </c>
    </row>
    <row r="58" customFormat="false" ht="15" hidden="false" customHeight="false" outlineLevel="0" collapsed="false">
      <c r="A58" s="13" t="s">
        <v>435</v>
      </c>
      <c r="B58" s="17" t="s">
        <v>434</v>
      </c>
      <c r="C58" s="63" t="n">
        <f aca="false">C52/C56</f>
        <v>0.433346440038687</v>
      </c>
      <c r="D58" s="63" t="n">
        <f aca="false">D52/D56</f>
        <v>0.724678056483463</v>
      </c>
      <c r="E58" s="63" t="n">
        <f aca="false">E52/E56</f>
        <v>0.19805114214475</v>
      </c>
      <c r="F58" s="63" t="n">
        <f aca="false">F52/F56</f>
        <v>0.383104114757812</v>
      </c>
      <c r="G58" s="63" t="n">
        <f aca="false">G52/G56</f>
        <v>0.453656370473033</v>
      </c>
      <c r="H58" s="64" t="n">
        <f aca="false">H52/H56</f>
        <v>0.544121064964945</v>
      </c>
      <c r="I58" s="64" t="n">
        <f aca="false">I52/I56</f>
        <v>0.436265393196714</v>
      </c>
      <c r="J58" s="64" t="n">
        <f aca="false">J52/J56</f>
        <v>0.385520044006851</v>
      </c>
      <c r="K58" s="64" t="n">
        <f aca="false">K52/K56</f>
        <v>0.389212442023027</v>
      </c>
      <c r="L58" s="64" t="n">
        <f aca="false">L52/L56</f>
        <v>0.410634194726825</v>
      </c>
    </row>
    <row r="59" customFormat="false" ht="15" hidden="false" customHeight="false" outlineLevel="0" collapsed="false">
      <c r="A59" s="4" t="s">
        <v>436</v>
      </c>
      <c r="B59" s="17" t="s">
        <v>68</v>
      </c>
      <c r="C59" s="27" t="n">
        <f aca="false">C58*Inputs!$C$7</f>
        <v>3.39799944027535</v>
      </c>
      <c r="D59" s="27" t="n">
        <f aca="false">D58*Inputs!$C$7</f>
        <v>5.68241804430378</v>
      </c>
      <c r="E59" s="27" t="n">
        <f aca="false">E58*Inputs!$C$7</f>
        <v>1.55297842089963</v>
      </c>
      <c r="F59" s="27" t="n">
        <f aca="false">F58*Inputs!$C$7</f>
        <v>3.00403429505043</v>
      </c>
      <c r="G59" s="27" t="n">
        <f aca="false">G58*Inputs!$C$7</f>
        <v>3.5572556977902</v>
      </c>
      <c r="H59" s="65" t="n">
        <f aca="false">H58*Inputs!$C$7</f>
        <v>4.26661650670963</v>
      </c>
      <c r="I59" s="65" t="n">
        <f aca="false">I58*Inputs!$C$7</f>
        <v>3.4208878276734</v>
      </c>
      <c r="J59" s="65" t="n">
        <f aca="false">J58*Inputs!$C$7</f>
        <v>3.02297832107092</v>
      </c>
      <c r="K59" s="65" t="n">
        <f aca="false">K58*Inputs!$C$7</f>
        <v>3.05193152163516</v>
      </c>
      <c r="L59" s="65" t="n">
        <f aca="false">L58*Inputs!$C$7</f>
        <v>3.21990591111145</v>
      </c>
    </row>
    <row r="60" customFormat="false" ht="15" hidden="false" customHeight="false" outlineLevel="0" collapsed="false">
      <c r="A60" s="4" t="s">
        <v>437</v>
      </c>
      <c r="B60" s="17" t="s">
        <v>68</v>
      </c>
      <c r="C60" s="21" t="n">
        <v>3.2</v>
      </c>
      <c r="D60" s="21" t="n">
        <v>4</v>
      </c>
      <c r="E60" s="21" t="n">
        <v>1.1</v>
      </c>
      <c r="F60" s="21" t="n">
        <v>2.52</v>
      </c>
      <c r="G60" s="21" t="n">
        <v>3</v>
      </c>
      <c r="H60" s="65" t="n">
        <f aca="false">'Cash Flow'!H47/Inputs!$C$12*Inputs!$C$7</f>
        <v>3.6192301107723</v>
      </c>
      <c r="I60" s="65" t="n">
        <f aca="false">'Cash Flow'!I47/Inputs!$C$12*Inputs!$C$7</f>
        <v>2.73920498449941</v>
      </c>
      <c r="J60" s="65" t="n">
        <f aca="false">'Cash Flow'!J47/Inputs!$C$12*Inputs!$C$7</f>
        <v>2.42772231240273</v>
      </c>
      <c r="K60" s="65" t="n">
        <f aca="false">'Cash Flow'!K47/Inputs!$C$12*Inputs!$C$7</f>
        <v>2.45817777669851</v>
      </c>
      <c r="L60" s="65" t="n">
        <f aca="false">'Cash Flow'!L47/Inputs!$C$12*Inputs!$C$7</f>
        <v>2.60107264304429</v>
      </c>
      <c r="M60" s="17" t="s">
        <v>438</v>
      </c>
    </row>
    <row r="61" customFormat="false" ht="15" hidden="false" customHeight="false" outlineLevel="0" collapsed="false">
      <c r="A61" s="4" t="s">
        <v>439</v>
      </c>
      <c r="B61" s="17" t="s">
        <v>128</v>
      </c>
      <c r="C61" s="9" t="n">
        <f aca="false">C60/C59</f>
        <v>0.941730584788057</v>
      </c>
      <c r="D61" s="9" t="n">
        <f aca="false">D60/D59</f>
        <v>0.703925682484715</v>
      </c>
      <c r="E61" s="9" t="n">
        <f aca="false">E60/E59</f>
        <v>0.708316345672582</v>
      </c>
      <c r="F61" s="9" t="n">
        <f aca="false">F60/F59</f>
        <v>0.838871914395936</v>
      </c>
      <c r="G61" s="9" t="n">
        <f aca="false">G60/G59</f>
        <v>0.843346741102595</v>
      </c>
      <c r="H61" s="41" t="n">
        <f aca="false">Scenarios!H40</f>
        <v>0.85</v>
      </c>
      <c r="I61" s="41" t="n">
        <f aca="false">Scenarios!I40</f>
        <v>0.8</v>
      </c>
      <c r="J61" s="41" t="n">
        <f aca="false">Scenarios!J40</f>
        <v>0.8</v>
      </c>
      <c r="K61" s="41" t="n">
        <f aca="false">Scenarios!K40</f>
        <v>0.8</v>
      </c>
      <c r="L61" s="41" t="n">
        <f aca="false">Scenarios!L40</f>
        <v>0.8</v>
      </c>
      <c r="M61" s="17" t="s">
        <v>440</v>
      </c>
    </row>
    <row r="62" customFormat="false" ht="15" hidden="false" customHeight="false" outlineLevel="0" collapsed="false">
      <c r="A62" s="48" t="s">
        <v>441</v>
      </c>
      <c r="B62" s="17" t="s">
        <v>89</v>
      </c>
      <c r="C62" s="49" t="n">
        <v>8.444</v>
      </c>
      <c r="D62" s="49" t="n">
        <v>27.747</v>
      </c>
      <c r="E62" s="49" t="n">
        <v>28.429</v>
      </c>
      <c r="F62" s="49" t="n">
        <v>27.829</v>
      </c>
      <c r="G62" s="49" t="n">
        <v>26.952</v>
      </c>
      <c r="H62" s="53" t="n">
        <f aca="false">Scenarios!H74</f>
        <v>25</v>
      </c>
      <c r="I62" s="53" t="n">
        <f aca="false">Scenarios!I74</f>
        <v>25</v>
      </c>
      <c r="J62" s="53" t="n">
        <f aca="false">Scenarios!J74</f>
        <v>25</v>
      </c>
      <c r="K62" s="53" t="n">
        <f aca="false">Scenarios!K74</f>
        <v>25</v>
      </c>
      <c r="L62" s="53" t="n">
        <f aca="false">Scenarios!L74</f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12" min="2" style="0" width="11"/>
    <col collapsed="false" customWidth="true" hidden="false" outlineLevel="0" max="13" min="13" style="0" width="70"/>
  </cols>
  <sheetData>
    <row r="1" customFormat="false" ht="15" hidden="false" customHeight="false" outlineLevel="0" collapsed="false">
      <c r="A1" s="16" t="s">
        <v>442</v>
      </c>
    </row>
    <row r="2" customFormat="false" ht="15" hidden="false" customHeight="false" outlineLevel="0" collapsed="false">
      <c r="A2" s="17" t="s">
        <v>443</v>
      </c>
    </row>
    <row r="4" customFormat="false" ht="15" hidden="false" customHeight="false" outlineLevel="0" collapsed="false">
      <c r="A4" s="29" t="s">
        <v>293</v>
      </c>
      <c r="B4" s="30" t="s">
        <v>63</v>
      </c>
      <c r="C4" s="30" t="s">
        <v>115</v>
      </c>
      <c r="D4" s="30" t="s">
        <v>116</v>
      </c>
      <c r="E4" s="30" t="s">
        <v>117</v>
      </c>
      <c r="F4" s="30" t="s">
        <v>118</v>
      </c>
      <c r="G4" s="30" t="s">
        <v>119</v>
      </c>
      <c r="H4" s="30" t="s">
        <v>120</v>
      </c>
      <c r="I4" s="30" t="s">
        <v>121</v>
      </c>
      <c r="J4" s="30" t="s">
        <v>122</v>
      </c>
      <c r="K4" s="30" t="s">
        <v>123</v>
      </c>
      <c r="L4" s="30" t="s">
        <v>124</v>
      </c>
      <c r="M4" s="29" t="s">
        <v>350</v>
      </c>
    </row>
    <row r="5" customFormat="false" ht="15" hidden="false" customHeight="false" outlineLevel="0" collapsed="false">
      <c r="A5" s="19" t="s">
        <v>444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</row>
    <row r="6" customFormat="false" ht="15" hidden="false" customHeight="false" outlineLevel="0" collapsed="false">
      <c r="A6" s="4" t="s">
        <v>427</v>
      </c>
      <c r="B6" s="17" t="s">
        <v>89</v>
      </c>
      <c r="C6" s="10" t="n">
        <f aca="false">'Income Statement'!C49</f>
        <v>1167.179</v>
      </c>
      <c r="D6" s="10" t="n">
        <f aca="false">'Income Statement'!D49</f>
        <v>1949.807</v>
      </c>
      <c r="E6" s="10" t="n">
        <f aca="false">'Income Statement'!E49</f>
        <v>536.174</v>
      </c>
      <c r="F6" s="10" t="n">
        <f aca="false">'Income Statement'!F49</f>
        <v>1034.342</v>
      </c>
      <c r="G6" s="10" t="n">
        <f aca="false">'Income Statement'!G49</f>
        <v>1230.402</v>
      </c>
      <c r="H6" s="38" t="n">
        <f aca="false">'Income Statement'!H49</f>
        <v>1481.2792774599</v>
      </c>
      <c r="I6" s="38" t="n">
        <f aca="false">'Income Statement'!I49</f>
        <v>1191.17130496568</v>
      </c>
      <c r="J6" s="38" t="n">
        <f aca="false">'Income Statement'!J49</f>
        <v>1055.71987906102</v>
      </c>
      <c r="K6" s="38" t="n">
        <f aca="false">'Income Statement'!K49</f>
        <v>1068.96374921817</v>
      </c>
      <c r="L6" s="38" t="n">
        <f aca="false">'Income Statement'!L49</f>
        <v>1131.10304342258</v>
      </c>
    </row>
    <row r="7" customFormat="false" ht="15" hidden="false" customHeight="false" outlineLevel="0" collapsed="false">
      <c r="A7" s="4" t="s">
        <v>445</v>
      </c>
      <c r="B7" s="17" t="s">
        <v>89</v>
      </c>
      <c r="C7" s="10" t="n">
        <f aca="false">'Income Statement'!C38</f>
        <v>131.374</v>
      </c>
      <c r="D7" s="10" t="n">
        <f aca="false">'Income Statement'!D38</f>
        <v>145.644</v>
      </c>
      <c r="E7" s="10" t="n">
        <f aca="false">'Income Statement'!E38</f>
        <v>158.761</v>
      </c>
      <c r="F7" s="10" t="n">
        <f aca="false">'Income Statement'!F38</f>
        <v>163.912</v>
      </c>
      <c r="G7" s="10" t="n">
        <f aca="false">'Income Statement'!G38</f>
        <v>180.245</v>
      </c>
      <c r="H7" s="38" t="n">
        <f aca="false">'Income Statement'!H38</f>
        <v>183.26528</v>
      </c>
      <c r="I7" s="38" t="n">
        <f aca="false">'Income Statement'!I38</f>
        <v>180.30712704</v>
      </c>
      <c r="J7" s="38" t="n">
        <f aca="false">'Income Statement'!J38</f>
        <v>199.96920662784</v>
      </c>
      <c r="K7" s="38" t="n">
        <f aca="false">'Income Statement'!K38</f>
        <v>221.613444621194</v>
      </c>
      <c r="L7" s="38" t="n">
        <f aca="false">'Income Statement'!L38</f>
        <v>221.311575267291</v>
      </c>
    </row>
    <row r="8" customFormat="false" ht="15" hidden="false" customHeight="false" outlineLevel="0" collapsed="false">
      <c r="A8" s="4" t="s">
        <v>446</v>
      </c>
      <c r="B8" s="17" t="s">
        <v>89</v>
      </c>
      <c r="C8" s="10" t="n">
        <f aca="false">'Income Statement'!C62</f>
        <v>8.444</v>
      </c>
      <c r="D8" s="10" t="n">
        <f aca="false">'Income Statement'!D62</f>
        <v>27.747</v>
      </c>
      <c r="E8" s="10" t="n">
        <f aca="false">'Income Statement'!E62</f>
        <v>28.429</v>
      </c>
      <c r="F8" s="10" t="n">
        <f aca="false">'Income Statement'!F62</f>
        <v>27.829</v>
      </c>
      <c r="G8" s="10" t="n">
        <f aca="false">'Income Statement'!G62</f>
        <v>26.952</v>
      </c>
      <c r="H8" s="38" t="n">
        <f aca="false">'Income Statement'!H62</f>
        <v>25</v>
      </c>
      <c r="I8" s="38" t="n">
        <f aca="false">'Income Statement'!I62</f>
        <v>25</v>
      </c>
      <c r="J8" s="38" t="n">
        <f aca="false">'Income Statement'!J62</f>
        <v>25</v>
      </c>
      <c r="K8" s="38" t="n">
        <f aca="false">'Income Statement'!K62</f>
        <v>25</v>
      </c>
      <c r="L8" s="38" t="n">
        <f aca="false">'Income Statement'!L62</f>
        <v>25</v>
      </c>
    </row>
    <row r="9" customFormat="false" ht="15" hidden="false" customHeight="false" outlineLevel="0" collapsed="false">
      <c r="A9" s="4" t="s">
        <v>447</v>
      </c>
      <c r="B9" s="17" t="s">
        <v>89</v>
      </c>
      <c r="C9" s="25" t="n">
        <f aca="false">-('Income Statement'!C41+'Income Statement'!C42)</f>
        <v>-15.946</v>
      </c>
      <c r="D9" s="25" t="n">
        <f aca="false">-('Income Statement'!D41+'Income Statement'!D42)</f>
        <v>-22.167</v>
      </c>
      <c r="E9" s="25" t="n">
        <f aca="false">-('Income Statement'!E41+'Income Statement'!E42)</f>
        <v>-19.8</v>
      </c>
      <c r="F9" s="25" t="n">
        <f aca="false">-('Income Statement'!F41+'Income Statement'!F42)</f>
        <v>-26.381</v>
      </c>
      <c r="G9" s="25" t="n">
        <f aca="false">-('Income Statement'!G41+'Income Statement'!G42)</f>
        <v>-32.759</v>
      </c>
      <c r="H9" s="43" t="n">
        <f aca="false">-('Income Statement'!H41+'Income Statement'!H42)</f>
        <v>-37.5528</v>
      </c>
      <c r="I9" s="43" t="n">
        <f aca="false">-('Income Statement'!I41+'Income Statement'!I42)</f>
        <v>-38.994912</v>
      </c>
      <c r="J9" s="43" t="n">
        <f aca="false">-('Income Statement'!J41+'Income Statement'!J42)</f>
        <v>-40.11975936</v>
      </c>
      <c r="K9" s="43" t="n">
        <f aca="false">-('Income Statement'!K41+'Income Statement'!K42)</f>
        <v>-41.2783521408</v>
      </c>
      <c r="L9" s="43" t="n">
        <f aca="false">-('Income Statement'!L41+'Income Statement'!L42)</f>
        <v>-42.471702705024</v>
      </c>
    </row>
    <row r="10" customFormat="false" ht="15" hidden="false" customHeight="false" outlineLevel="0" collapsed="false">
      <c r="A10" s="4" t="s">
        <v>448</v>
      </c>
      <c r="B10" s="17" t="s">
        <v>89</v>
      </c>
      <c r="C10" s="25" t="n">
        <f aca="false">-'Income Statement'!C29</f>
        <v>-3.141</v>
      </c>
      <c r="D10" s="25" t="n">
        <f aca="false">-'Income Statement'!D29</f>
        <v>-119.072</v>
      </c>
      <c r="E10" s="25" t="n">
        <f aca="false">-'Income Statement'!E29</f>
        <v>-22.05</v>
      </c>
      <c r="F10" s="25" t="n">
        <f aca="false">-'Income Statement'!F29</f>
        <v>-9.524</v>
      </c>
      <c r="G10" s="25" t="n">
        <f aca="false">-'Income Statement'!G29</f>
        <v>-35.527</v>
      </c>
      <c r="H10" s="43" t="n">
        <f aca="false">-'Income Statement'!H29</f>
        <v>-10</v>
      </c>
      <c r="I10" s="43" t="n">
        <f aca="false">-'Income Statement'!I29</f>
        <v>-5</v>
      </c>
      <c r="J10" s="43" t="n">
        <f aca="false">-'Income Statement'!J29</f>
        <v>-5</v>
      </c>
      <c r="K10" s="43" t="n">
        <f aca="false">-'Income Statement'!K29</f>
        <v>-5</v>
      </c>
      <c r="L10" s="43" t="n">
        <f aca="false">-'Income Statement'!L29</f>
        <v>-5</v>
      </c>
    </row>
    <row r="11" customFormat="false" ht="15" hidden="false" customHeight="false" outlineLevel="0" collapsed="false">
      <c r="A11" s="4" t="s">
        <v>449</v>
      </c>
      <c r="B11" s="17" t="s">
        <v>89</v>
      </c>
      <c r="H11" s="43" t="n">
        <f aca="false">'Balance Sheet'!G16-'Balance Sheet'!H16</f>
        <v>-6.36985934383562</v>
      </c>
      <c r="I11" s="43" t="n">
        <f aca="false">'Balance Sheet'!H16-'Balance Sheet'!I16</f>
        <v>-1.06789139786096</v>
      </c>
      <c r="J11" s="43" t="n">
        <f aca="false">'Balance Sheet'!I16-'Balance Sheet'!J16</f>
        <v>-2.93958753708483</v>
      </c>
      <c r="K11" s="43" t="n">
        <f aca="false">'Balance Sheet'!J16-'Balance Sheet'!K16</f>
        <v>-3.11125944925059</v>
      </c>
      <c r="L11" s="43" t="n">
        <f aca="false">'Balance Sheet'!K16-'Balance Sheet'!L16</f>
        <v>-2.94061180696625</v>
      </c>
    </row>
    <row r="12" customFormat="false" ht="15" hidden="false" customHeight="false" outlineLevel="0" collapsed="false">
      <c r="A12" s="4" t="s">
        <v>450</v>
      </c>
      <c r="B12" s="17" t="s">
        <v>89</v>
      </c>
      <c r="H12" s="43" t="n">
        <f aca="false">'Balance Sheet'!G17-'Balance Sheet'!H17</f>
        <v>-39.9954258426863</v>
      </c>
      <c r="I12" s="43" t="n">
        <f aca="false">'Balance Sheet'!H17-'Balance Sheet'!I17</f>
        <v>9.64177321422446</v>
      </c>
      <c r="J12" s="43" t="n">
        <f aca="false">'Balance Sheet'!I17-'Balance Sheet'!J17</f>
        <v>-0.757910772500082</v>
      </c>
      <c r="K12" s="43" t="n">
        <f aca="false">'Balance Sheet'!J17-'Balance Sheet'!K17</f>
        <v>-8.85967416068834</v>
      </c>
      <c r="L12" s="43" t="n">
        <f aca="false">'Balance Sheet'!K17-'Balance Sheet'!L17</f>
        <v>-10.0077902045066</v>
      </c>
    </row>
    <row r="13" customFormat="false" ht="15" hidden="false" customHeight="false" outlineLevel="0" collapsed="false">
      <c r="A13" s="4" t="s">
        <v>451</v>
      </c>
      <c r="B13" s="17" t="s">
        <v>89</v>
      </c>
      <c r="H13" s="43" t="n">
        <f aca="false">'Balance Sheet'!G18-'Balance Sheet'!H18</f>
        <v>-11.6083088392165</v>
      </c>
      <c r="I13" s="43" t="n">
        <f aca="false">'Balance Sheet'!H18-'Balance Sheet'!I18</f>
        <v>2.17858161435691</v>
      </c>
      <c r="J13" s="43" t="n">
        <f aca="false">'Balance Sheet'!I18-'Balance Sheet'!J18</f>
        <v>-0.171251743595853</v>
      </c>
      <c r="K13" s="43" t="n">
        <f aca="false">'Balance Sheet'!J18-'Balance Sheet'!K18</f>
        <v>-2.00186447106982</v>
      </c>
      <c r="L13" s="43" t="n">
        <f aca="false">'Balance Sheet'!K18-'Balance Sheet'!L18</f>
        <v>-2.26128402478019</v>
      </c>
    </row>
    <row r="14" customFormat="false" ht="15" hidden="false" customHeight="false" outlineLevel="0" collapsed="false">
      <c r="A14" s="4" t="s">
        <v>452</v>
      </c>
      <c r="B14" s="17" t="s">
        <v>89</v>
      </c>
      <c r="H14" s="43" t="n">
        <f aca="false">'Balance Sheet'!H26-'Balance Sheet'!G26</f>
        <v>21.8432427915069</v>
      </c>
      <c r="I14" s="43" t="n">
        <f aca="false">'Balance Sheet'!I26-'Balance Sheet'!H26</f>
        <v>12.4352085941787</v>
      </c>
      <c r="J14" s="43" t="n">
        <f aca="false">'Balance Sheet'!J26-'Balance Sheet'!I26</f>
        <v>16.159322882729</v>
      </c>
      <c r="K14" s="43" t="n">
        <f aca="false">'Balance Sheet'!K26-'Balance Sheet'!J26</f>
        <v>14.9531405647301</v>
      </c>
      <c r="L14" s="43" t="n">
        <f aca="false">'Balance Sheet'!L26-'Balance Sheet'!K26</f>
        <v>12.3374019370364</v>
      </c>
    </row>
    <row r="15" customFormat="false" ht="15" hidden="false" customHeight="false" outlineLevel="0" collapsed="false">
      <c r="A15" s="4" t="s">
        <v>453</v>
      </c>
      <c r="B15" s="17" t="s">
        <v>89</v>
      </c>
      <c r="H15" s="43" t="n">
        <f aca="false">'Balance Sheet'!H27-'Balance Sheet'!G27</f>
        <v>18.1015781110135</v>
      </c>
      <c r="I15" s="43" t="n">
        <f aca="false">'Balance Sheet'!I27-'Balance Sheet'!H27</f>
        <v>-7.87641045190574</v>
      </c>
      <c r="J15" s="43" t="n">
        <f aca="false">'Balance Sheet'!J27-'Balance Sheet'!I27</f>
        <v>0.619140919154233</v>
      </c>
      <c r="K15" s="43" t="n">
        <f aca="false">'Balance Sheet'!K27-'Balance Sheet'!J27</f>
        <v>7.23751001079089</v>
      </c>
      <c r="L15" s="43" t="n">
        <f aca="false">'Balance Sheet'!L27-'Balance Sheet'!K27</f>
        <v>8.17541147420528</v>
      </c>
    </row>
    <row r="16" customFormat="false" ht="15" hidden="false" customHeight="false" outlineLevel="0" collapsed="false">
      <c r="A16" s="4" t="s">
        <v>454</v>
      </c>
      <c r="B16" s="17" t="s">
        <v>89</v>
      </c>
      <c r="H16" s="43" t="n">
        <f aca="false">'Balance Sheet'!H31-'Balance Sheet'!G31</f>
        <v>1.2424481621197</v>
      </c>
      <c r="I16" s="43" t="n">
        <f aca="false">'Balance Sheet'!I31-'Balance Sheet'!H31</f>
        <v>-1.00342533721299</v>
      </c>
      <c r="J16" s="43" t="n">
        <f aca="false">'Balance Sheet'!J31-'Balance Sheet'!I31</f>
        <v>-0.468499336801474</v>
      </c>
      <c r="K16" s="43" t="n">
        <f aca="false">'Balance Sheet'!K31-'Balance Sheet'!J31</f>
        <v>0.0458078927104104</v>
      </c>
      <c r="L16" s="43" t="n">
        <f aca="false">'Balance Sheet'!L31-'Balance Sheet'!K31</f>
        <v>0.214927365508641</v>
      </c>
    </row>
    <row r="17" customFormat="false" ht="15" hidden="false" customHeight="false" outlineLevel="0" collapsed="false">
      <c r="A17" s="4" t="s">
        <v>455</v>
      </c>
      <c r="B17" s="17" t="s">
        <v>89</v>
      </c>
      <c r="C17" s="24" t="n">
        <v>47.299</v>
      </c>
      <c r="D17" s="24" t="n">
        <v>20.606</v>
      </c>
      <c r="E17" s="24" t="n">
        <v>-9.301</v>
      </c>
      <c r="F17" s="24" t="n">
        <v>-31.844</v>
      </c>
      <c r="G17" s="24" t="n">
        <v>31.724</v>
      </c>
      <c r="H17" s="66"/>
      <c r="I17" s="66"/>
      <c r="J17" s="66"/>
      <c r="K17" s="66"/>
      <c r="L17" s="66"/>
      <c r="M17" s="17" t="s">
        <v>456</v>
      </c>
    </row>
    <row r="18" customFormat="false" ht="15" hidden="false" customHeight="false" outlineLevel="0" collapsed="false">
      <c r="A18" s="13" t="s">
        <v>457</v>
      </c>
      <c r="B18" s="17" t="s">
        <v>89</v>
      </c>
      <c r="C18" s="46" t="n">
        <f aca="false">SUM(C6:C17)</f>
        <v>1335.209</v>
      </c>
      <c r="D18" s="46" t="n">
        <f aca="false">SUM(D6:D17)</f>
        <v>2002.565</v>
      </c>
      <c r="E18" s="46" t="n">
        <f aca="false">SUM(E6:E17)</f>
        <v>672.213</v>
      </c>
      <c r="F18" s="46" t="n">
        <f aca="false">SUM(F6:F17)</f>
        <v>1158.334</v>
      </c>
      <c r="G18" s="46" t="n">
        <f aca="false">SUM(G6:G17)</f>
        <v>1401.037</v>
      </c>
      <c r="H18" s="47" t="n">
        <f aca="false">SUM(H6:H17)</f>
        <v>1625.2054324988</v>
      </c>
      <c r="I18" s="47" t="n">
        <f aca="false">SUM(I6:I17)</f>
        <v>1366.79135624146</v>
      </c>
      <c r="J18" s="47" t="n">
        <f aca="false">SUM(J6:J17)</f>
        <v>1248.01054074076</v>
      </c>
      <c r="K18" s="47" t="n">
        <f aca="false">SUM(K6:K17)</f>
        <v>1277.56250208579</v>
      </c>
      <c r="L18" s="47" t="n">
        <f aca="false">SUM(L6:L17)</f>
        <v>1335.46097072535</v>
      </c>
    </row>
    <row r="19" customFormat="false" ht="15" hidden="false" customHeight="false" outlineLevel="0" collapsed="false">
      <c r="A19" s="19" t="s">
        <v>458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</row>
    <row r="20" customFormat="false" ht="15" hidden="false" customHeight="false" outlineLevel="0" collapsed="false">
      <c r="A20" s="4" t="s">
        <v>459</v>
      </c>
      <c r="B20" s="17" t="s">
        <v>89</v>
      </c>
      <c r="C20" s="24" t="n">
        <v>-67.996</v>
      </c>
      <c r="D20" s="24" t="n">
        <v>-412.832</v>
      </c>
      <c r="E20" s="24" t="n">
        <v>-260.645</v>
      </c>
      <c r="F20" s="24" t="n">
        <v>-242.939</v>
      </c>
      <c r="G20" s="24" t="n">
        <v>-100.207</v>
      </c>
      <c r="H20" s="43" t="n">
        <f aca="false">-Scenarios!H83</f>
        <v>-30</v>
      </c>
      <c r="I20" s="43" t="n">
        <f aca="false">-Scenarios!I83</f>
        <v>-60</v>
      </c>
      <c r="J20" s="43" t="n">
        <f aca="false">-Scenarios!J83</f>
        <v>-60</v>
      </c>
      <c r="K20" s="43" t="n">
        <f aca="false">-Scenarios!K83</f>
        <v>-60</v>
      </c>
      <c r="L20" s="43" t="n">
        <f aca="false">-Scenarios!L83</f>
        <v>-60</v>
      </c>
    </row>
    <row r="21" customFormat="false" ht="15" hidden="false" customHeight="false" outlineLevel="0" collapsed="false">
      <c r="A21" s="4" t="s">
        <v>460</v>
      </c>
      <c r="B21" s="17" t="s">
        <v>89</v>
      </c>
      <c r="C21" s="24" t="n">
        <v>-121.103</v>
      </c>
      <c r="D21" s="24" t="n">
        <v>-75.34</v>
      </c>
      <c r="E21" s="24" t="n">
        <v>-48.511</v>
      </c>
      <c r="F21" s="24" t="n">
        <v>-18.087</v>
      </c>
      <c r="G21" s="24" t="n">
        <v>-35.122</v>
      </c>
      <c r="H21" s="43" t="n">
        <f aca="false">-(Scenarios!H81+Scenarios!H82)</f>
        <v>-132</v>
      </c>
      <c r="I21" s="43" t="n">
        <f aca="false">-(Scenarios!I81+Scenarios!I82)</f>
        <v>-330</v>
      </c>
      <c r="J21" s="43" t="n">
        <f aca="false">-(Scenarios!J81+Scenarios!J82)</f>
        <v>-300</v>
      </c>
      <c r="K21" s="43" t="n">
        <f aca="false">-(Scenarios!K81+Scenarios!K82)</f>
        <v>-148.1</v>
      </c>
      <c r="L21" s="43" t="n">
        <f aca="false">-(Scenarios!L81+Scenarios!L82)</f>
        <v>-150</v>
      </c>
    </row>
    <row r="22" customFormat="false" ht="15" hidden="false" customHeight="false" outlineLevel="0" collapsed="false">
      <c r="A22" s="4" t="s">
        <v>461</v>
      </c>
      <c r="B22" s="17" t="s">
        <v>89</v>
      </c>
      <c r="C22" s="24" t="n">
        <v>20.978</v>
      </c>
      <c r="D22" s="24" t="n">
        <v>241.744</v>
      </c>
      <c r="E22" s="24" t="n">
        <v>44.067</v>
      </c>
      <c r="F22" s="24" t="n">
        <v>32.374</v>
      </c>
      <c r="G22" s="24" t="n">
        <v>70.732</v>
      </c>
      <c r="H22" s="38" t="n">
        <f aca="false">Scenarios!H64</f>
        <v>30</v>
      </c>
      <c r="I22" s="38" t="n">
        <f aca="false">Scenarios!I64</f>
        <v>15</v>
      </c>
      <c r="J22" s="38" t="n">
        <f aca="false">Scenarios!J64</f>
        <v>15</v>
      </c>
      <c r="K22" s="38" t="n">
        <f aca="false">Scenarios!K64</f>
        <v>15</v>
      </c>
      <c r="L22" s="38" t="n">
        <f aca="false">Scenarios!L64</f>
        <v>15</v>
      </c>
    </row>
    <row r="23" customFormat="false" ht="15" hidden="false" customHeight="false" outlineLevel="0" collapsed="false">
      <c r="A23" s="4" t="s">
        <v>462</v>
      </c>
      <c r="B23" s="17" t="s">
        <v>89</v>
      </c>
      <c r="C23" s="24" t="n">
        <v>2.986</v>
      </c>
      <c r="D23" s="24" t="n">
        <v>12.239</v>
      </c>
      <c r="E23" s="24" t="n">
        <v>15.246</v>
      </c>
      <c r="F23" s="24" t="n">
        <v>17.316</v>
      </c>
      <c r="G23" s="24" t="n">
        <v>27.603</v>
      </c>
      <c r="H23" s="43" t="n">
        <f aca="false">'Income Statement'!H41*Scenarios!H71</f>
        <v>30.64488</v>
      </c>
      <c r="I23" s="43" t="n">
        <f aca="false">'Income Statement'!I41*Scenarios!I71</f>
        <v>31.8706752</v>
      </c>
      <c r="J23" s="43" t="n">
        <f aca="false">'Income Statement'!J41*Scenarios!J71</f>
        <v>32.826795456</v>
      </c>
      <c r="K23" s="43" t="n">
        <f aca="false">'Income Statement'!K41*Scenarios!K71</f>
        <v>33.81159931968</v>
      </c>
      <c r="L23" s="43" t="n">
        <f aca="false">'Income Statement'!L41*Scenarios!L71</f>
        <v>34.8259472992704</v>
      </c>
    </row>
    <row r="24" customFormat="false" ht="15" hidden="false" customHeight="false" outlineLevel="0" collapsed="false">
      <c r="A24" s="4" t="s">
        <v>463</v>
      </c>
      <c r="B24" s="17" t="s">
        <v>89</v>
      </c>
      <c r="H24" s="43" t="n">
        <f aca="false">('Balance Sheet'!G21+'Balance Sheet'!G20)-('Balance Sheet'!H21+'Balance Sheet'!H20)</f>
        <v>-19.97</v>
      </c>
      <c r="I24" s="43" t="n">
        <f aca="false">('Balance Sheet'!H21+'Balance Sheet'!H20)-('Balance Sheet'!I21+'Balance Sheet'!I20)</f>
        <v>0</v>
      </c>
      <c r="J24" s="43" t="n">
        <f aca="false">('Balance Sheet'!I21+'Balance Sheet'!I20)-('Balance Sheet'!J21+'Balance Sheet'!J20)</f>
        <v>0</v>
      </c>
      <c r="K24" s="43" t="n">
        <f aca="false">('Balance Sheet'!J21+'Balance Sheet'!J20)-('Balance Sheet'!K21+'Balance Sheet'!K20)</f>
        <v>0</v>
      </c>
      <c r="L24" s="43" t="n">
        <f aca="false">('Balance Sheet'!K21+'Balance Sheet'!K20)-('Balance Sheet'!L21+'Balance Sheet'!L20)</f>
        <v>0</v>
      </c>
    </row>
    <row r="25" customFormat="false" ht="15" hidden="false" customHeight="false" outlineLevel="0" collapsed="false">
      <c r="A25" s="4" t="s">
        <v>464</v>
      </c>
      <c r="B25" s="17" t="s">
        <v>89</v>
      </c>
      <c r="C25" s="24" t="n">
        <v>218.954</v>
      </c>
      <c r="D25" s="24" t="n">
        <v>-195.006</v>
      </c>
      <c r="E25" s="24" t="n">
        <v>100.658</v>
      </c>
      <c r="F25" s="24" t="n">
        <v>-298.212</v>
      </c>
      <c r="G25" s="24" t="n">
        <v>-91.455</v>
      </c>
      <c r="H25" s="66"/>
      <c r="I25" s="66"/>
      <c r="J25" s="66"/>
      <c r="K25" s="66"/>
      <c r="L25" s="66"/>
    </row>
    <row r="26" customFormat="false" ht="15" hidden="false" customHeight="false" outlineLevel="0" collapsed="false">
      <c r="A26" s="13" t="s">
        <v>465</v>
      </c>
      <c r="B26" s="17" t="s">
        <v>89</v>
      </c>
      <c r="C26" s="46" t="n">
        <f aca="false">SUM(C20:C25)</f>
        <v>53.819</v>
      </c>
      <c r="D26" s="46" t="n">
        <f aca="false">SUM(D20:D25)</f>
        <v>-429.195</v>
      </c>
      <c r="E26" s="46" t="n">
        <f aca="false">SUM(E20:E25)</f>
        <v>-149.185</v>
      </c>
      <c r="F26" s="46" t="n">
        <f aca="false">SUM(F20:F25)</f>
        <v>-509.548</v>
      </c>
      <c r="G26" s="46" t="n">
        <f aca="false">SUM(G20:G25)</f>
        <v>-128.449</v>
      </c>
      <c r="H26" s="47" t="n">
        <f aca="false">SUM(H20:H25)</f>
        <v>-121.32512</v>
      </c>
      <c r="I26" s="47" t="n">
        <f aca="false">SUM(I20:I25)</f>
        <v>-343.1293248</v>
      </c>
      <c r="J26" s="47" t="n">
        <f aca="false">SUM(J20:J25)</f>
        <v>-312.173204544</v>
      </c>
      <c r="K26" s="47" t="n">
        <f aca="false">SUM(K20:K25)</f>
        <v>-159.28840068032</v>
      </c>
      <c r="L26" s="47" t="n">
        <f aca="false">SUM(L20:L25)</f>
        <v>-160.17405270073</v>
      </c>
    </row>
    <row r="27" customFormat="false" ht="15" hidden="false" customHeight="false" outlineLevel="0" collapsed="false">
      <c r="A27" s="19" t="s">
        <v>466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</row>
    <row r="28" customFormat="false" ht="15" hidden="false" customHeight="false" outlineLevel="0" collapsed="false">
      <c r="A28" s="4" t="s">
        <v>467</v>
      </c>
      <c r="B28" s="17" t="s">
        <v>89</v>
      </c>
      <c r="C28" s="24" t="n">
        <v>-551.911</v>
      </c>
      <c r="D28" s="24" t="n">
        <v>-1574.077</v>
      </c>
      <c r="E28" s="24" t="n">
        <v>-751.971</v>
      </c>
      <c r="F28" s="24" t="n">
        <v>-557.55</v>
      </c>
      <c r="G28" s="24" t="n">
        <v>-937.716</v>
      </c>
      <c r="H28" s="43" t="n">
        <f aca="false">-(H50+'Balance Sheet'!G32-'Balance Sheet'!H32)</f>
        <v>-1451.90513389361</v>
      </c>
      <c r="I28" s="43" t="n">
        <f aca="false">-(I50+'Balance Sheet'!H32-'Balance Sheet'!I32)</f>
        <v>-908.001409572045</v>
      </c>
      <c r="J28" s="43" t="n">
        <f aca="false">-(J50+'Balance Sheet'!I32-'Balance Sheet'!J32)</f>
        <v>-887.978386075043</v>
      </c>
      <c r="K28" s="43" t="n">
        <f aca="false">-(K50+'Balance Sheet'!J32-'Balance Sheet'!K32)</f>
        <v>-845.300786881253</v>
      </c>
      <c r="L28" s="43" t="n">
        <f aca="false">-(L50+'Balance Sheet'!K32-'Balance Sheet'!L32)</f>
        <v>-877.217215091531</v>
      </c>
    </row>
    <row r="29" customFormat="false" ht="15" hidden="false" customHeight="false" outlineLevel="0" collapsed="false">
      <c r="A29" s="4" t="s">
        <v>468</v>
      </c>
      <c r="B29" s="17" t="s">
        <v>89</v>
      </c>
      <c r="H29" s="43" t="n">
        <f aca="false">'Income Statement'!H51*Scenarios!H97</f>
        <v>-2.66630269942782</v>
      </c>
      <c r="I29" s="43" t="n">
        <f aca="false">'Income Statement'!I51*Scenarios!I97</f>
        <v>-2.14410834893822</v>
      </c>
      <c r="J29" s="43" t="n">
        <f aca="false">'Income Statement'!J51*Scenarios!J97</f>
        <v>-1.90029578230983</v>
      </c>
      <c r="K29" s="43" t="n">
        <f aca="false">'Income Statement'!K51*Scenarios!K97</f>
        <v>-1.92413474859271</v>
      </c>
      <c r="L29" s="43" t="n">
        <f aca="false">'Income Statement'!L51*Scenarios!L97</f>
        <v>-2.03598547816065</v>
      </c>
    </row>
    <row r="30" customFormat="false" ht="15" hidden="false" customHeight="false" outlineLevel="0" collapsed="false">
      <c r="A30" s="4" t="s">
        <v>469</v>
      </c>
      <c r="B30" s="17" t="s">
        <v>89</v>
      </c>
      <c r="C30" s="24" t="n">
        <v>-56.129</v>
      </c>
      <c r="D30" s="24" t="n">
        <v>-63.028</v>
      </c>
      <c r="E30" s="24" t="n">
        <v>-63.728</v>
      </c>
      <c r="F30" s="24" t="n">
        <v>-61.237</v>
      </c>
      <c r="G30" s="24" t="n">
        <v>-77.909</v>
      </c>
      <c r="H30" s="43" t="n">
        <f aca="false">-'Income Statement'!H37*Scenarios!H79</f>
        <v>-76.7090688</v>
      </c>
      <c r="I30" s="43" t="n">
        <f aca="false">-'Income Statement'!I37*Scenarios!I79</f>
        <v>-77.064164352</v>
      </c>
      <c r="J30" s="43" t="n">
        <f aca="false">-'Income Statement'!J37*Scenarios!J79</f>
        <v>-78.52068983808</v>
      </c>
      <c r="K30" s="43" t="n">
        <f aca="false">-'Income Statement'!K37*Scenarios!K79</f>
        <v>-79.6713449720832</v>
      </c>
      <c r="L30" s="43" t="n">
        <f aca="false">-'Income Statement'!L37*Scenarios!L79</f>
        <v>-80.5803625279457</v>
      </c>
    </row>
    <row r="31" customFormat="false" ht="15" hidden="false" customHeight="false" outlineLevel="0" collapsed="false">
      <c r="A31" s="4" t="s">
        <v>470</v>
      </c>
      <c r="B31" s="17" t="s">
        <v>89</v>
      </c>
      <c r="C31" s="24" t="n">
        <v>70.7</v>
      </c>
      <c r="D31" s="24" t="n">
        <v>110.067</v>
      </c>
      <c r="E31" s="24" t="n">
        <v>95.171</v>
      </c>
      <c r="F31" s="24" t="n">
        <v>31.132</v>
      </c>
      <c r="G31" s="24" t="n">
        <v>19.766</v>
      </c>
      <c r="H31" s="66"/>
      <c r="I31" s="66"/>
      <c r="J31" s="66"/>
      <c r="K31" s="66"/>
      <c r="L31" s="66"/>
    </row>
    <row r="32" customFormat="false" ht="15" hidden="false" customHeight="false" outlineLevel="0" collapsed="false">
      <c r="A32" s="4" t="s">
        <v>471</v>
      </c>
      <c r="B32" s="17" t="s">
        <v>89</v>
      </c>
      <c r="C32" s="24" t="n">
        <v>-167.661</v>
      </c>
      <c r="D32" s="24" t="n">
        <v>-166.336</v>
      </c>
      <c r="E32" s="24" t="n">
        <v>-198.313</v>
      </c>
      <c r="F32" s="24" t="n">
        <v>-33.136</v>
      </c>
      <c r="G32" s="24" t="n">
        <v>-168.26</v>
      </c>
      <c r="H32" s="66"/>
      <c r="I32" s="66"/>
      <c r="J32" s="66"/>
      <c r="K32" s="66"/>
      <c r="L32" s="66"/>
    </row>
    <row r="33" customFormat="false" ht="15" hidden="false" customHeight="false" outlineLevel="0" collapsed="false">
      <c r="A33" s="4" t="s">
        <v>472</v>
      </c>
      <c r="B33" s="17" t="s">
        <v>89</v>
      </c>
      <c r="H33" s="43" t="n">
        <f aca="false">'Balance Sheet'!H29-'Balance Sheet'!G29</f>
        <v>11.061</v>
      </c>
      <c r="I33" s="43" t="n">
        <f aca="false">'Balance Sheet'!I29-'Balance Sheet'!H29</f>
        <v>-30</v>
      </c>
      <c r="J33" s="43" t="n">
        <f aca="false">'Balance Sheet'!J29-'Balance Sheet'!I29</f>
        <v>0</v>
      </c>
      <c r="K33" s="43" t="n">
        <f aca="false">'Balance Sheet'!K29-'Balance Sheet'!J29</f>
        <v>0</v>
      </c>
      <c r="L33" s="43" t="n">
        <f aca="false">'Balance Sheet'!L29-'Balance Sheet'!K29</f>
        <v>0</v>
      </c>
    </row>
    <row r="34" customFormat="false" ht="15" hidden="false" customHeight="false" outlineLevel="0" collapsed="false">
      <c r="A34" s="4" t="s">
        <v>473</v>
      </c>
      <c r="B34" s="17" t="s">
        <v>89</v>
      </c>
      <c r="C34" s="24" t="n">
        <v>-48.112</v>
      </c>
      <c r="D34" s="24" t="n">
        <v>-22.013</v>
      </c>
      <c r="E34" s="24" t="n">
        <v>-23.753</v>
      </c>
      <c r="F34" s="24" t="n">
        <v>-5.083</v>
      </c>
      <c r="G34" s="24" t="n">
        <v>-0.914</v>
      </c>
      <c r="H34" s="43" t="n">
        <f aca="false">-Scenarios!H96</f>
        <v>-5</v>
      </c>
      <c r="I34" s="43" t="n">
        <f aca="false">-Scenarios!I96</f>
        <v>-5</v>
      </c>
      <c r="J34" s="43" t="n">
        <f aca="false">-Scenarios!J96</f>
        <v>-5</v>
      </c>
      <c r="K34" s="43" t="n">
        <f aca="false">-Scenarios!K96</f>
        <v>-5</v>
      </c>
      <c r="L34" s="43" t="n">
        <f aca="false">-Scenarios!L96</f>
        <v>-5</v>
      </c>
    </row>
    <row r="35" customFormat="false" ht="15" hidden="false" customHeight="false" outlineLevel="0" collapsed="false">
      <c r="A35" s="4" t="s">
        <v>474</v>
      </c>
      <c r="B35" s="17" t="s">
        <v>89</v>
      </c>
      <c r="C35" s="24" t="n">
        <v>-1.097</v>
      </c>
      <c r="D35" s="24" t="n">
        <v>-2.862</v>
      </c>
      <c r="E35" s="24" t="n">
        <v>-2.018</v>
      </c>
      <c r="F35" s="24" t="n">
        <v>-7.665</v>
      </c>
      <c r="G35" s="24" t="n">
        <v>-5.735</v>
      </c>
      <c r="H35" s="66"/>
      <c r="I35" s="66"/>
      <c r="J35" s="66"/>
      <c r="K35" s="66"/>
      <c r="L35" s="66"/>
    </row>
    <row r="36" customFormat="false" ht="15" hidden="false" customHeight="false" outlineLevel="0" collapsed="false">
      <c r="A36" s="48" t="s">
        <v>475</v>
      </c>
      <c r="B36" s="17" t="s">
        <v>89</v>
      </c>
      <c r="C36" s="50" t="n">
        <f aca="false">SUM(C28:C35)</f>
        <v>-754.21</v>
      </c>
      <c r="D36" s="50" t="n">
        <f aca="false">SUM(D28:D35)</f>
        <v>-1718.249</v>
      </c>
      <c r="E36" s="50" t="n">
        <f aca="false">SUM(E28:E35)</f>
        <v>-944.612</v>
      </c>
      <c r="F36" s="50" t="n">
        <f aca="false">SUM(F28:F35)</f>
        <v>-633.539</v>
      </c>
      <c r="G36" s="50" t="n">
        <f aca="false">SUM(G28:G35)</f>
        <v>-1170.768</v>
      </c>
      <c r="H36" s="52" t="n">
        <f aca="false">SUM(H28:H35)</f>
        <v>-1525.21950539304</v>
      </c>
      <c r="I36" s="52" t="n">
        <f aca="false">SUM(I28:I35)</f>
        <v>-1022.20968227298</v>
      </c>
      <c r="J36" s="52" t="n">
        <f aca="false">SUM(J28:J35)</f>
        <v>-973.399371695433</v>
      </c>
      <c r="K36" s="52" t="n">
        <f aca="false">SUM(K28:K35)</f>
        <v>-931.896266601929</v>
      </c>
      <c r="L36" s="52" t="n">
        <f aca="false">SUM(L28:L35)</f>
        <v>-964.833563097638</v>
      </c>
    </row>
    <row r="37" customFormat="false" ht="15" hidden="false" customHeight="false" outlineLevel="0" collapsed="false">
      <c r="A37" s="4" t="s">
        <v>476</v>
      </c>
      <c r="B37" s="17" t="s">
        <v>89</v>
      </c>
      <c r="H37" s="43" t="n">
        <f aca="false">H45-G45</f>
        <v>0</v>
      </c>
      <c r="I37" s="43" t="n">
        <f aca="false">I45-H45</f>
        <v>0</v>
      </c>
      <c r="J37" s="43" t="n">
        <f aca="false">J45-I45</f>
        <v>0</v>
      </c>
      <c r="K37" s="43" t="n">
        <f aca="false">K45-J45</f>
        <v>0</v>
      </c>
      <c r="L37" s="43" t="n">
        <f aca="false">L45-K45</f>
        <v>0</v>
      </c>
    </row>
    <row r="38" customFormat="false" ht="15" hidden="false" customHeight="false" outlineLevel="0" collapsed="false">
      <c r="A38" s="13" t="s">
        <v>477</v>
      </c>
      <c r="B38" s="17" t="s">
        <v>89</v>
      </c>
      <c r="C38" s="46" t="n">
        <f aca="false">C36+C37</f>
        <v>-754.21</v>
      </c>
      <c r="D38" s="46" t="n">
        <f aca="false">D36+D37</f>
        <v>-1718.249</v>
      </c>
      <c r="E38" s="46" t="n">
        <f aca="false">E36+E37</f>
        <v>-944.612</v>
      </c>
      <c r="F38" s="46" t="n">
        <f aca="false">F36+F37</f>
        <v>-633.539</v>
      </c>
      <c r="G38" s="46" t="n">
        <f aca="false">G36+G37</f>
        <v>-1170.768</v>
      </c>
      <c r="H38" s="47" t="n">
        <f aca="false">H36+H37</f>
        <v>-1525.21950539304</v>
      </c>
      <c r="I38" s="47" t="n">
        <f aca="false">I36+I37</f>
        <v>-1022.20968227298</v>
      </c>
      <c r="J38" s="47" t="n">
        <f aca="false">J36+J37</f>
        <v>-973.399371695433</v>
      </c>
      <c r="K38" s="47" t="n">
        <f aca="false">K36+K37</f>
        <v>-931.896266601929</v>
      </c>
      <c r="L38" s="47" t="n">
        <f aca="false">L36+L37</f>
        <v>-964.833563097638</v>
      </c>
    </row>
    <row r="39" customFormat="false" ht="15" hidden="false" customHeight="false" outlineLevel="0" collapsed="false">
      <c r="A39" s="4" t="s">
        <v>478</v>
      </c>
      <c r="B39" s="17" t="s">
        <v>89</v>
      </c>
      <c r="C39" s="24" t="n">
        <v>-1.693</v>
      </c>
      <c r="D39" s="24" t="n">
        <v>-4.722</v>
      </c>
      <c r="E39" s="24" t="n">
        <v>-0.869</v>
      </c>
      <c r="F39" s="24" t="n">
        <v>-1.364</v>
      </c>
      <c r="G39" s="24" t="n">
        <v>5.671</v>
      </c>
      <c r="H39" s="66"/>
      <c r="I39" s="66"/>
      <c r="J39" s="66"/>
      <c r="K39" s="66"/>
      <c r="L39" s="66"/>
    </row>
    <row r="40" customFormat="false" ht="15" hidden="false" customHeight="false" outlineLevel="0" collapsed="false">
      <c r="A40" s="13" t="s">
        <v>479</v>
      </c>
      <c r="B40" s="17" t="s">
        <v>89</v>
      </c>
      <c r="C40" s="46" t="n">
        <f aca="false">C18+C26+C38+C39</f>
        <v>633.125</v>
      </c>
      <c r="D40" s="46" t="n">
        <f aca="false">D18+D26+D38+D39</f>
        <v>-149.601</v>
      </c>
      <c r="E40" s="46" t="n">
        <f aca="false">E18+E26+E38+E39</f>
        <v>-422.453</v>
      </c>
      <c r="F40" s="46" t="n">
        <f aca="false">F18+F26+F38+F39</f>
        <v>13.8830000000001</v>
      </c>
      <c r="G40" s="46" t="n">
        <f aca="false">G18+G26+G38+G39</f>
        <v>107.491</v>
      </c>
      <c r="H40" s="47" t="n">
        <f aca="false">H18+H26+H38+H39</f>
        <v>-21.339192894239</v>
      </c>
      <c r="I40" s="47" t="n">
        <f aca="false">I18+I26+I38+I39</f>
        <v>1.45234916847414</v>
      </c>
      <c r="J40" s="47" t="n">
        <f aca="false">J18+J26+J38+J39</f>
        <v>-37.5620354986769</v>
      </c>
      <c r="K40" s="47" t="n">
        <f aca="false">K18+K26+K38+K39</f>
        <v>186.37783480354</v>
      </c>
      <c r="L40" s="47" t="n">
        <f aca="false">L18+L26+L38+L39</f>
        <v>210.453354926979</v>
      </c>
    </row>
    <row r="41" customFormat="false" ht="15" hidden="false" customHeight="false" outlineLevel="0" collapsed="false">
      <c r="A41" s="4" t="s">
        <v>480</v>
      </c>
      <c r="B41" s="17" t="s">
        <v>89</v>
      </c>
      <c r="C41" s="10" t="n">
        <f aca="false">Inputs!$C$26</f>
        <v>61.139</v>
      </c>
      <c r="D41" s="25" t="n">
        <f aca="false">C42</f>
        <v>694.264</v>
      </c>
      <c r="E41" s="25" t="n">
        <f aca="false">D42</f>
        <v>544.663</v>
      </c>
      <c r="F41" s="25" t="n">
        <f aca="false">E42</f>
        <v>122.21</v>
      </c>
      <c r="G41" s="25" t="n">
        <f aca="false">F42</f>
        <v>136.093</v>
      </c>
      <c r="H41" s="43" t="n">
        <f aca="false">G42</f>
        <v>243.584</v>
      </c>
      <c r="I41" s="43" t="n">
        <f aca="false">H42</f>
        <v>222.244807105761</v>
      </c>
      <c r="J41" s="43" t="n">
        <f aca="false">I42</f>
        <v>223.697156274235</v>
      </c>
      <c r="K41" s="43" t="n">
        <f aca="false">J42</f>
        <v>186.135120775558</v>
      </c>
      <c r="L41" s="43" t="n">
        <f aca="false">K42</f>
        <v>372.512955579098</v>
      </c>
    </row>
    <row r="42" customFormat="false" ht="15" hidden="false" customHeight="false" outlineLevel="0" collapsed="false">
      <c r="A42" s="13" t="s">
        <v>481</v>
      </c>
      <c r="B42" s="17" t="s">
        <v>89</v>
      </c>
      <c r="C42" s="46" t="n">
        <f aca="false">C41+C40</f>
        <v>694.264</v>
      </c>
      <c r="D42" s="46" t="n">
        <f aca="false">D41+D40</f>
        <v>544.663</v>
      </c>
      <c r="E42" s="46" t="n">
        <f aca="false">E41+E40</f>
        <v>122.21</v>
      </c>
      <c r="F42" s="46" t="n">
        <f aca="false">F41+F40</f>
        <v>136.093</v>
      </c>
      <c r="G42" s="46" t="n">
        <f aca="false">G41+G40</f>
        <v>243.584</v>
      </c>
      <c r="H42" s="47" t="n">
        <f aca="false">H41+H40</f>
        <v>222.244807105761</v>
      </c>
      <c r="I42" s="47" t="n">
        <f aca="false">I41+I40</f>
        <v>223.697156274235</v>
      </c>
      <c r="J42" s="47" t="n">
        <f aca="false">J41+J40</f>
        <v>186.135120775558</v>
      </c>
      <c r="K42" s="47" t="n">
        <f aca="false">K41+K40</f>
        <v>372.512955579098</v>
      </c>
      <c r="L42" s="47" t="n">
        <f aca="false">L41+L40</f>
        <v>582.966310506077</v>
      </c>
    </row>
    <row r="43" customFormat="false" ht="15" hidden="false" customHeight="false" outlineLevel="0" collapsed="false">
      <c r="A43" s="19" t="s">
        <v>482</v>
      </c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</row>
    <row r="44" customFormat="false" ht="15" hidden="false" customHeight="false" outlineLevel="0" collapsed="false">
      <c r="A44" s="48" t="s">
        <v>483</v>
      </c>
      <c r="B44" s="17" t="s">
        <v>89</v>
      </c>
      <c r="H44" s="52" t="n">
        <f aca="false">H41+H18+H26+H36+H39</f>
        <v>222.244807105761</v>
      </c>
      <c r="I44" s="52" t="n">
        <f aca="false">I41+I18+I26+I36+I39</f>
        <v>223.697156274235</v>
      </c>
      <c r="J44" s="52" t="n">
        <f aca="false">J41+J18+J26+J36+J39</f>
        <v>186.135120775558</v>
      </c>
      <c r="K44" s="52" t="n">
        <f aca="false">K41+K18+K26+K36+K39</f>
        <v>372.512955579098</v>
      </c>
      <c r="L44" s="52" t="n">
        <f aca="false">L41+L18+L26+L36+L39</f>
        <v>582.966310506078</v>
      </c>
    </row>
    <row r="45" customFormat="false" ht="15" hidden="false" customHeight="false" outlineLevel="0" collapsed="false">
      <c r="A45" s="48" t="s">
        <v>484</v>
      </c>
      <c r="B45" s="17" t="s">
        <v>89</v>
      </c>
      <c r="G45" s="51" t="n">
        <f aca="false">'Balance Sheet'!G35</f>
        <v>0</v>
      </c>
      <c r="H45" s="52" t="n">
        <f aca="false">MAX(0,G45+Inputs!$C$28-H44)</f>
        <v>0</v>
      </c>
      <c r="I45" s="52" t="n">
        <f aca="false">MAX(0,H45+Inputs!$C$28-I44)</f>
        <v>0</v>
      </c>
      <c r="J45" s="52" t="n">
        <f aca="false">MAX(0,I45+Inputs!$C$28-J44)</f>
        <v>0</v>
      </c>
      <c r="K45" s="52" t="n">
        <f aca="false">MAX(0,J45+Inputs!$C$28-K44)</f>
        <v>0</v>
      </c>
      <c r="L45" s="52" t="n">
        <f aca="false">MAX(0,K45+Inputs!$C$28-L44)</f>
        <v>0</v>
      </c>
      <c r="M45" s="17" t="s">
        <v>485</v>
      </c>
    </row>
    <row r="46" customFormat="false" ht="15" hidden="false" customHeight="false" outlineLevel="0" collapsed="false">
      <c r="A46" s="19" t="s">
        <v>486</v>
      </c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</row>
    <row r="47" customFormat="false" ht="15" hidden="false" customHeight="false" outlineLevel="0" collapsed="false">
      <c r="A47" s="4" t="s">
        <v>487</v>
      </c>
      <c r="B47" s="17" t="s">
        <v>89</v>
      </c>
      <c r="H47" s="43" t="n">
        <f aca="false">'Income Statement'!H52*Scenarios!H40</f>
        <v>1251.53286152587</v>
      </c>
      <c r="I47" s="43" t="n">
        <f aca="false">'Income Statement'!I52*Scenarios!I40</f>
        <v>947.219421708706</v>
      </c>
      <c r="J47" s="43" t="n">
        <f aca="false">'Income Statement'!J52*Scenarios!J40</f>
        <v>839.508447829319</v>
      </c>
      <c r="K47" s="43" t="n">
        <f aca="false">'Income Statement'!K52*Scenarios!K40</f>
        <v>850.039973378291</v>
      </c>
      <c r="L47" s="43" t="n">
        <f aca="false">'Income Statement'!L52*Scenarios!L40</f>
        <v>899.453140129637</v>
      </c>
    </row>
    <row r="48" customFormat="false" ht="15" hidden="false" customHeight="false" outlineLevel="0" collapsed="false">
      <c r="A48" s="4" t="s">
        <v>488</v>
      </c>
      <c r="B48" s="17" t="s">
        <v>89</v>
      </c>
      <c r="H48" s="43" t="n">
        <f aca="false">Inputs!$C$20*Inputs!$C$12/Inputs!$C$7</f>
        <v>864.502133893615</v>
      </c>
      <c r="I48" s="43" t="n">
        <f aca="false">I47*Scenarios!I98</f>
        <v>520.970681939788</v>
      </c>
      <c r="J48" s="43" t="n">
        <f aca="false">J47*Scenarios!J98</f>
        <v>461.729646306126</v>
      </c>
      <c r="K48" s="43" t="n">
        <f aca="false">K47*Scenarios!K98</f>
        <v>467.52198535806</v>
      </c>
      <c r="L48" s="43" t="n">
        <f aca="false">L47*Scenarios!L98</f>
        <v>494.699227071301</v>
      </c>
    </row>
    <row r="49" customFormat="false" ht="15" hidden="false" customHeight="false" outlineLevel="0" collapsed="false">
      <c r="A49" s="4" t="s">
        <v>489</v>
      </c>
      <c r="B49" s="17" t="s">
        <v>89</v>
      </c>
      <c r="G49" s="10" t="n">
        <f aca="false">Inputs!$C$21</f>
        <v>344.572</v>
      </c>
      <c r="H49" s="43" t="n">
        <f aca="false">MAX(0,H47-H48)</f>
        <v>387.030727632256</v>
      </c>
      <c r="I49" s="43" t="n">
        <f aca="false">MAX(0,I47-I48)</f>
        <v>426.248739768918</v>
      </c>
      <c r="J49" s="43" t="n">
        <f aca="false">MAX(0,J47-J48)</f>
        <v>377.778801523194</v>
      </c>
      <c r="K49" s="43" t="n">
        <f aca="false">MAX(0,K47-K48)</f>
        <v>382.517988020231</v>
      </c>
      <c r="L49" s="43" t="n">
        <f aca="false">MAX(0,L47-L48)</f>
        <v>404.753913058337</v>
      </c>
    </row>
    <row r="50" customFormat="false" ht="15" hidden="false" customHeight="false" outlineLevel="0" collapsed="false">
      <c r="A50" s="4" t="s">
        <v>490</v>
      </c>
      <c r="B50" s="17" t="s">
        <v>89</v>
      </c>
      <c r="H50" s="43" t="n">
        <f aca="false">H48+G49</f>
        <v>1209.07413389361</v>
      </c>
      <c r="I50" s="43" t="n">
        <f aca="false">I48+H49</f>
        <v>908.001409572045</v>
      </c>
      <c r="J50" s="43" t="n">
        <f aca="false">J48+I49</f>
        <v>887.978386075043</v>
      </c>
      <c r="K50" s="43" t="n">
        <f aca="false">K48+J49</f>
        <v>845.300786881253</v>
      </c>
      <c r="L50" s="43" t="n">
        <f aca="false">L48+K49</f>
        <v>877.217215091531</v>
      </c>
    </row>
    <row r="51" customFormat="false" ht="15" hidden="false" customHeight="false" outlineLevel="0" collapsed="false">
      <c r="A51" s="19" t="s">
        <v>491</v>
      </c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</row>
    <row r="52" customFormat="false" ht="15" hidden="false" customHeight="false" outlineLevel="0" collapsed="false">
      <c r="A52" s="4" t="s">
        <v>492</v>
      </c>
      <c r="B52" s="17" t="s">
        <v>89</v>
      </c>
      <c r="C52" s="25" t="n">
        <f aca="false">C20+C21</f>
        <v>-189.099</v>
      </c>
      <c r="D52" s="25" t="n">
        <f aca="false">D20+D21</f>
        <v>-488.172</v>
      </c>
      <c r="E52" s="25" t="n">
        <f aca="false">E20+E21</f>
        <v>-309.156</v>
      </c>
      <c r="F52" s="25" t="n">
        <f aca="false">F20+F21</f>
        <v>-261.026</v>
      </c>
      <c r="G52" s="25" t="n">
        <f aca="false">G20+G21</f>
        <v>-135.329</v>
      </c>
      <c r="H52" s="43" t="n">
        <f aca="false">H20+H21</f>
        <v>-162</v>
      </c>
      <c r="I52" s="43" t="n">
        <f aca="false">I20+I21</f>
        <v>-390</v>
      </c>
      <c r="J52" s="43" t="n">
        <f aca="false">J20+J21</f>
        <v>-360</v>
      </c>
      <c r="K52" s="43" t="n">
        <f aca="false">K20+K21</f>
        <v>-208.1</v>
      </c>
      <c r="L52" s="43" t="n">
        <f aca="false">L20+L21</f>
        <v>-210</v>
      </c>
    </row>
    <row r="53" customFormat="false" ht="15" hidden="false" customHeight="false" outlineLevel="0" collapsed="false">
      <c r="A53" s="13" t="s">
        <v>493</v>
      </c>
      <c r="B53" s="17" t="s">
        <v>89</v>
      </c>
      <c r="C53" s="46" t="n">
        <f aca="false">C18+C52+C22+C23+C30</f>
        <v>1113.945</v>
      </c>
      <c r="D53" s="46" t="n">
        <f aca="false">D18+D52+D22+D23+D30</f>
        <v>1705.348</v>
      </c>
      <c r="E53" s="46" t="n">
        <f aca="false">E18+E52+E22+E23+E30</f>
        <v>358.642</v>
      </c>
      <c r="F53" s="46" t="n">
        <f aca="false">F18+F52+F22+F23+F30</f>
        <v>885.761</v>
      </c>
      <c r="G53" s="46" t="n">
        <f aca="false">G18+G52+G22+G23+G30</f>
        <v>1286.134</v>
      </c>
      <c r="H53" s="47" t="n">
        <f aca="false">H18+H52+H22+H23+H30</f>
        <v>1447.1412436988</v>
      </c>
      <c r="I53" s="47" t="n">
        <f aca="false">I18+I52+I22+I23+I30</f>
        <v>946.597867089457</v>
      </c>
      <c r="J53" s="47" t="n">
        <f aca="false">J18+J52+J22+J23+J30</f>
        <v>857.316646358676</v>
      </c>
      <c r="K53" s="47" t="n">
        <f aca="false">K18+K52+K22+K23+K30</f>
        <v>1038.60275643339</v>
      </c>
      <c r="L53" s="47" t="n">
        <f aca="false">L18+L52+L22+L23+L30</f>
        <v>1094.70655549667</v>
      </c>
      <c r="M53" s="17" t="s">
        <v>494</v>
      </c>
    </row>
    <row r="54" customFormat="false" ht="15" hidden="false" customHeight="false" outlineLevel="0" collapsed="false">
      <c r="A54" s="4" t="s">
        <v>495</v>
      </c>
      <c r="B54" s="17" t="s">
        <v>68</v>
      </c>
      <c r="C54" s="27" t="n">
        <f aca="false">C53/'Income Statement'!C56*Inputs!$C$7</f>
        <v>3.25547338941264</v>
      </c>
      <c r="D54" s="27" t="n">
        <f aca="false">D53/'Income Statement'!D56*Inputs!$C$7</f>
        <v>4.98373567868</v>
      </c>
      <c r="E54" s="27" t="n">
        <f aca="false">E53/'Income Statement'!E56*Inputs!$C$7</f>
        <v>1.0481193520206</v>
      </c>
      <c r="F54" s="27" t="n">
        <f aca="false">F53/'Income Statement'!F56*Inputs!$C$7</f>
        <v>2.58756367998265</v>
      </c>
      <c r="G54" s="27" t="n">
        <f aca="false">G53/'Income Statement'!G56*Inputs!$C$7</f>
        <v>3.74123488075488</v>
      </c>
      <c r="H54" s="65" t="n">
        <f aca="false">H53/'Income Statement'!H56*Inputs!$C$7</f>
        <v>4.19344738884532</v>
      </c>
      <c r="I54" s="65" t="n">
        <f aca="false">I53/'Income Statement'!I56*Inputs!$C$7</f>
        <v>2.73491446396778</v>
      </c>
      <c r="J54" s="65" t="n">
        <f aca="false">J53/'Income Statement'!J56*Inputs!$C$7</f>
        <v>2.46968296072457</v>
      </c>
      <c r="K54" s="65" t="n">
        <f aca="false">K53/'Income Statement'!K56*Inputs!$C$7</f>
        <v>2.98314864249857</v>
      </c>
      <c r="L54" s="65" t="n">
        <f aca="false">L53/'Income Statement'!L56*Inputs!$C$7</f>
        <v>3.13510683477577</v>
      </c>
    </row>
    <row r="55" customFormat="false" ht="15" hidden="false" customHeight="false" outlineLevel="0" collapsed="false">
      <c r="A55" s="4" t="s">
        <v>496</v>
      </c>
      <c r="B55" s="17" t="s">
        <v>128</v>
      </c>
      <c r="C55" s="9" t="n">
        <f aca="false">C53/Inputs!$C$16</f>
        <v>0.0675618356516303</v>
      </c>
      <c r="D55" s="9" t="n">
        <f aca="false">D53/Inputs!$C$16</f>
        <v>0.103430996417989</v>
      </c>
      <c r="E55" s="9" t="n">
        <f aca="false">E53/Inputs!$C$16</f>
        <v>0.0217519822448792</v>
      </c>
      <c r="F55" s="9" t="n">
        <f aca="false">F53/Inputs!$C$16</f>
        <v>0.053722256582348</v>
      </c>
      <c r="G55" s="9" t="n">
        <f aca="false">G53/Inputs!$C$16</f>
        <v>0.0780052641144525</v>
      </c>
      <c r="H55" s="40" t="n">
        <f aca="false">H53/Inputs!$C$16</f>
        <v>0.0877705083029004</v>
      </c>
      <c r="I55" s="40" t="n">
        <f aca="false">I53/Inputs!$C$16</f>
        <v>0.0574120710847319</v>
      </c>
      <c r="J55" s="40" t="n">
        <f aca="false">J53/Inputs!$C$16</f>
        <v>0.0519970791759842</v>
      </c>
      <c r="K55" s="40" t="n">
        <f aca="false">K53/Inputs!$C$16</f>
        <v>0.0629922561145142</v>
      </c>
      <c r="L55" s="40" t="n">
        <f aca="false">L53/Inputs!$C$16</f>
        <v>0.0663950054888063</v>
      </c>
    </row>
    <row r="56" customFormat="false" ht="15" hidden="false" customHeight="false" outlineLevel="0" collapsed="false">
      <c r="A56" s="4" t="s">
        <v>497</v>
      </c>
      <c r="B56" s="17" t="s">
        <v>128</v>
      </c>
      <c r="C56" s="9" t="n">
        <f aca="false">-C28/C53</f>
        <v>0.49545623886278</v>
      </c>
      <c r="D56" s="9" t="n">
        <f aca="false">-D28/D53</f>
        <v>0.923023922390034</v>
      </c>
      <c r="E56" s="9" t="n">
        <f aca="false">-E28/E53</f>
        <v>2.09671761812616</v>
      </c>
      <c r="F56" s="9" t="n">
        <f aca="false">-F28/F53</f>
        <v>0.629458736611795</v>
      </c>
      <c r="G56" s="9" t="n">
        <f aca="false">-G28/G53</f>
        <v>0.729096657113489</v>
      </c>
      <c r="H56" s="40" t="n">
        <f aca="false">-H28/H53</f>
        <v>1.00329193174167</v>
      </c>
      <c r="I56" s="40" t="n">
        <f aca="false">-I28/I53</f>
        <v>0.95922613090595</v>
      </c>
      <c r="J56" s="40" t="n">
        <f aca="false">-J28/J53</f>
        <v>1.03576477821421</v>
      </c>
      <c r="K56" s="40" t="n">
        <f aca="false">-K28/K53</f>
        <v>0.813882672316468</v>
      </c>
      <c r="L56" s="40" t="n">
        <f aca="false">-L28/L53</f>
        <v>0.801326356078626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12" min="2" style="0" width="11"/>
    <col collapsed="false" customWidth="true" hidden="false" outlineLevel="0" max="13" min="13" style="0" width="70"/>
  </cols>
  <sheetData>
    <row r="1" customFormat="false" ht="15" hidden="false" customHeight="false" outlineLevel="0" collapsed="false">
      <c r="A1" s="16" t="s">
        <v>498</v>
      </c>
    </row>
    <row r="2" customFormat="false" ht="15" hidden="false" customHeight="false" outlineLevel="0" collapsed="false">
      <c r="A2" s="17" t="s">
        <v>499</v>
      </c>
    </row>
    <row r="4" customFormat="false" ht="15" hidden="false" customHeight="false" outlineLevel="0" collapsed="false">
      <c r="A4" s="29" t="s">
        <v>293</v>
      </c>
      <c r="B4" s="30" t="s">
        <v>63</v>
      </c>
      <c r="C4" s="30" t="s">
        <v>115</v>
      </c>
      <c r="D4" s="30" t="s">
        <v>116</v>
      </c>
      <c r="E4" s="30" t="s">
        <v>117</v>
      </c>
      <c r="F4" s="30" t="s">
        <v>118</v>
      </c>
      <c r="G4" s="30" t="s">
        <v>119</v>
      </c>
      <c r="H4" s="30" t="s">
        <v>120</v>
      </c>
      <c r="I4" s="30" t="s">
        <v>121</v>
      </c>
      <c r="J4" s="30" t="s">
        <v>122</v>
      </c>
      <c r="K4" s="30" t="s">
        <v>123</v>
      </c>
      <c r="L4" s="30" t="s">
        <v>124</v>
      </c>
      <c r="M4" s="29" t="s">
        <v>350</v>
      </c>
    </row>
    <row r="5" customFormat="false" ht="15" hidden="false" customHeight="false" outlineLevel="0" collapsed="false">
      <c r="A5" s="19" t="s">
        <v>500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</row>
    <row r="6" customFormat="false" ht="15" hidden="false" customHeight="false" outlineLevel="0" collapsed="false">
      <c r="A6" s="4" t="s">
        <v>501</v>
      </c>
      <c r="B6" s="17" t="s">
        <v>89</v>
      </c>
      <c r="C6" s="24" t="n">
        <v>1087.704</v>
      </c>
      <c r="D6" s="24" t="n">
        <v>1396.647</v>
      </c>
      <c r="E6" s="24" t="n">
        <v>1661.852</v>
      </c>
      <c r="F6" s="24" t="n">
        <v>1827.726</v>
      </c>
      <c r="G6" s="24" t="n">
        <v>1793.36</v>
      </c>
      <c r="H6" s="43" t="n">
        <f aca="false">G6+Scenarios!H83+H50-'Income Statement'!H36-(Scenarios!H64-Scenarios!H63)</f>
        <v>1742.18496</v>
      </c>
      <c r="I6" s="43" t="n">
        <f aca="false">H6+Scenarios!I83+I50-'Income Statement'!I36-(Scenarios!I64-Scenarios!I63)</f>
        <v>2029.08512256</v>
      </c>
      <c r="J6" s="43" t="n">
        <f aca="false">I6+Scenarios!J83+J50-'Income Statement'!J36-(Scenarios!J64-Scenarios!J63)</f>
        <v>2351.22367471616</v>
      </c>
      <c r="K6" s="43" t="n">
        <f aca="false">J6+Scenarios!K83+K50-'Income Statement'!K36-(Scenarios!K64-Scenarios!K63)</f>
        <v>2333.82535953433</v>
      </c>
      <c r="L6" s="43" t="n">
        <f aca="false">K6+Scenarios!L83+L50-'Income Statement'!L36-(Scenarios!L64-Scenarios!L63)</f>
        <v>2234.46053652413</v>
      </c>
      <c r="M6" s="17" t="s">
        <v>502</v>
      </c>
    </row>
    <row r="7" customFormat="false" ht="15" hidden="false" customHeight="false" outlineLevel="0" collapsed="false">
      <c r="A7" s="4" t="s">
        <v>503</v>
      </c>
      <c r="B7" s="17" t="s">
        <v>89</v>
      </c>
      <c r="C7" s="24" t="n">
        <v>233.189</v>
      </c>
      <c r="D7" s="24" t="n">
        <v>262.923</v>
      </c>
      <c r="E7" s="24" t="n">
        <v>215.463</v>
      </c>
      <c r="F7" s="24" t="n">
        <v>235.841</v>
      </c>
      <c r="G7" s="24" t="n">
        <v>326.144</v>
      </c>
      <c r="H7" s="43" t="n">
        <f aca="false">G7+Scenarios!H78-'Income Statement'!H37</f>
        <v>327.65376</v>
      </c>
      <c r="I7" s="43" t="n">
        <f aca="false">H7+Scenarios!I78-'Income Statement'!I37</f>
        <v>333.8464704</v>
      </c>
      <c r="J7" s="43" t="n">
        <f aca="false">I7+Scenarios!J78-'Income Statement'!J37</f>
        <v>338.738711616</v>
      </c>
      <c r="K7" s="43" t="n">
        <f aca="false">J7+Scenarios!K78-'Income Statement'!K37</f>
        <v>342.60358217664</v>
      </c>
      <c r="L7" s="43" t="n">
        <f aca="false">K7+Scenarios!L78-'Income Statement'!L37</f>
        <v>345.656829919546</v>
      </c>
    </row>
    <row r="8" customFormat="false" ht="15" hidden="false" customHeight="false" outlineLevel="0" collapsed="false">
      <c r="A8" s="4" t="s">
        <v>504</v>
      </c>
      <c r="B8" s="17" t="s">
        <v>89</v>
      </c>
      <c r="C8" s="24" t="n">
        <v>145.152</v>
      </c>
      <c r="D8" s="24" t="n">
        <v>111.722</v>
      </c>
      <c r="E8" s="24" t="n">
        <v>70.833</v>
      </c>
      <c r="F8" s="24" t="n">
        <v>30.873</v>
      </c>
      <c r="G8" s="24" t="n">
        <v>52.467</v>
      </c>
      <c r="H8" s="43" t="n">
        <f aca="false">G8+Scenarios!H81+Scenarios!H82-H50</f>
        <v>130.867</v>
      </c>
      <c r="I8" s="43" t="n">
        <f aca="false">H8+Scenarios!I81+Scenarios!I82-I50</f>
        <v>112.467</v>
      </c>
      <c r="J8" s="43" t="n">
        <f aca="false">I8+Scenarios!J81+Scenarios!J82-J50</f>
        <v>10.4669999999999</v>
      </c>
      <c r="K8" s="43" t="n">
        <f aca="false">J8+Scenarios!K81+Scenarios!K82-K50</f>
        <v>75.4869999999999</v>
      </c>
      <c r="L8" s="43" t="n">
        <f aca="false">K8+Scenarios!L81+Scenarios!L82-L50</f>
        <v>225.487</v>
      </c>
    </row>
    <row r="9" customFormat="false" ht="15" hidden="false" customHeight="false" outlineLevel="0" collapsed="false">
      <c r="A9" s="4" t="s">
        <v>505</v>
      </c>
      <c r="B9" s="17" t="s">
        <v>89</v>
      </c>
      <c r="C9" s="24" t="n">
        <v>1.111</v>
      </c>
      <c r="D9" s="24" t="n">
        <v>1.019</v>
      </c>
      <c r="E9" s="24" t="n">
        <v>0.998</v>
      </c>
      <c r="F9" s="24" t="n">
        <v>0.971</v>
      </c>
      <c r="G9" s="24" t="n">
        <v>1.014</v>
      </c>
      <c r="H9" s="43" t="n">
        <f aca="false">G9</f>
        <v>1.014</v>
      </c>
      <c r="I9" s="43" t="n">
        <f aca="false">H9</f>
        <v>1.014</v>
      </c>
      <c r="J9" s="43" t="n">
        <f aca="false">I9</f>
        <v>1.014</v>
      </c>
      <c r="K9" s="43" t="n">
        <f aca="false">J9</f>
        <v>1.014</v>
      </c>
      <c r="L9" s="43" t="n">
        <f aca="false">K9</f>
        <v>1.014</v>
      </c>
    </row>
    <row r="10" customFormat="false" ht="15" hidden="false" customHeight="false" outlineLevel="0" collapsed="false">
      <c r="A10" s="4" t="s">
        <v>506</v>
      </c>
      <c r="B10" s="17" t="s">
        <v>89</v>
      </c>
      <c r="C10" s="24" t="n">
        <v>1.579</v>
      </c>
      <c r="D10" s="24" t="n">
        <v>1.579</v>
      </c>
      <c r="E10" s="24" t="n">
        <v>1.579</v>
      </c>
      <c r="F10" s="24" t="n">
        <v>1.579</v>
      </c>
      <c r="G10" s="24" t="n">
        <v>1.579</v>
      </c>
      <c r="H10" s="43" t="n">
        <f aca="false">G10</f>
        <v>1.579</v>
      </c>
      <c r="I10" s="43" t="n">
        <f aca="false">H10</f>
        <v>1.579</v>
      </c>
      <c r="J10" s="43" t="n">
        <f aca="false">I10</f>
        <v>1.579</v>
      </c>
      <c r="K10" s="43" t="n">
        <f aca="false">J10</f>
        <v>1.579</v>
      </c>
      <c r="L10" s="43" t="n">
        <f aca="false">K10</f>
        <v>1.579</v>
      </c>
    </row>
    <row r="11" customFormat="false" ht="15" hidden="false" customHeight="false" outlineLevel="0" collapsed="false">
      <c r="A11" s="4" t="s">
        <v>507</v>
      </c>
      <c r="B11" s="17" t="s">
        <v>89</v>
      </c>
      <c r="C11" s="24" t="n">
        <v>49.929</v>
      </c>
      <c r="D11" s="24" t="n">
        <v>57.777</v>
      </c>
      <c r="E11" s="24" t="n">
        <v>57.965</v>
      </c>
      <c r="F11" s="24" t="n">
        <v>60.666</v>
      </c>
      <c r="G11" s="24" t="n">
        <v>65.686</v>
      </c>
      <c r="H11" s="43" t="n">
        <f aca="false">G11+'Income Statement'!H41-'Cash Flow'!H23</f>
        <v>71.09392</v>
      </c>
      <c r="I11" s="43" t="n">
        <f aca="false">H11+'Income Statement'!I41-'Cash Flow'!I23</f>
        <v>76.7181568</v>
      </c>
      <c r="J11" s="43" t="n">
        <f aca="false">I11+'Income Statement'!J41-'Cash Flow'!J23</f>
        <v>82.511120704</v>
      </c>
      <c r="K11" s="43" t="n">
        <f aca="false">J11+'Income Statement'!K41-'Cash Flow'!K23</f>
        <v>88.47787352512</v>
      </c>
      <c r="L11" s="43" t="n">
        <f aca="false">K11+'Income Statement'!L41-'Cash Flow'!L23</f>
        <v>94.6236289308736</v>
      </c>
    </row>
    <row r="12" customFormat="false" ht="15" hidden="false" customHeight="false" outlineLevel="0" collapsed="false">
      <c r="A12" s="4" t="s">
        <v>508</v>
      </c>
      <c r="B12" s="17" t="s">
        <v>89</v>
      </c>
      <c r="C12" s="24" t="n">
        <v>10.494</v>
      </c>
      <c r="D12" s="24" t="n">
        <v>9.63</v>
      </c>
      <c r="E12" s="24" t="n">
        <v>12.604</v>
      </c>
      <c r="F12" s="24" t="n">
        <v>13.892</v>
      </c>
      <c r="G12" s="24" t="n">
        <v>13.885</v>
      </c>
      <c r="H12" s="43" t="n">
        <f aca="false">G12+'Income Statement'!H42</f>
        <v>15.385</v>
      </c>
      <c r="I12" s="43" t="n">
        <f aca="false">H12+'Income Statement'!I42</f>
        <v>16.885</v>
      </c>
      <c r="J12" s="43" t="n">
        <f aca="false">I12+'Income Statement'!J42</f>
        <v>18.385</v>
      </c>
      <c r="K12" s="43" t="n">
        <f aca="false">J12+'Income Statement'!K42</f>
        <v>19.885</v>
      </c>
      <c r="L12" s="43" t="n">
        <f aca="false">K12+'Income Statement'!L42</f>
        <v>21.385</v>
      </c>
    </row>
    <row r="13" customFormat="false" ht="15" hidden="false" customHeight="false" outlineLevel="0" collapsed="false">
      <c r="A13" s="4" t="s">
        <v>509</v>
      </c>
      <c r="B13" s="17" t="s">
        <v>89</v>
      </c>
      <c r="C13" s="24" t="n">
        <v>1.907</v>
      </c>
      <c r="D13" s="24" t="n">
        <v>12.589</v>
      </c>
      <c r="E13" s="24" t="n">
        <v>4.584</v>
      </c>
      <c r="F13" s="24" t="n">
        <v>3.006</v>
      </c>
      <c r="G13" s="24" t="n">
        <v>0</v>
      </c>
      <c r="H13" s="43" t="n">
        <f aca="false">G13</f>
        <v>0</v>
      </c>
      <c r="I13" s="43" t="n">
        <f aca="false">H13</f>
        <v>0</v>
      </c>
      <c r="J13" s="43" t="n">
        <f aca="false">I13</f>
        <v>0</v>
      </c>
      <c r="K13" s="43" t="n">
        <f aca="false">J13</f>
        <v>0</v>
      </c>
      <c r="L13" s="43" t="n">
        <f aca="false">K13</f>
        <v>0</v>
      </c>
    </row>
    <row r="14" customFormat="false" ht="15" hidden="false" customHeight="false" outlineLevel="0" collapsed="false">
      <c r="A14" s="13" t="s">
        <v>510</v>
      </c>
      <c r="B14" s="17" t="s">
        <v>89</v>
      </c>
      <c r="C14" s="46" t="n">
        <f aca="false">SUM(C6:C13)</f>
        <v>1531.065</v>
      </c>
      <c r="D14" s="46" t="n">
        <f aca="false">SUM(D6:D13)</f>
        <v>1853.886</v>
      </c>
      <c r="E14" s="46" t="n">
        <f aca="false">SUM(E6:E13)</f>
        <v>2025.878</v>
      </c>
      <c r="F14" s="46" t="n">
        <f aca="false">SUM(F6:F13)</f>
        <v>2174.554</v>
      </c>
      <c r="G14" s="46" t="n">
        <f aca="false">SUM(G6:G13)</f>
        <v>2254.135</v>
      </c>
      <c r="H14" s="47" t="n">
        <f aca="false">SUM(H6:H13)</f>
        <v>2289.77764</v>
      </c>
      <c r="I14" s="47" t="n">
        <f aca="false">SUM(I6:I13)</f>
        <v>2571.59474976</v>
      </c>
      <c r="J14" s="47" t="n">
        <f aca="false">SUM(J6:J13)</f>
        <v>2803.91850703616</v>
      </c>
      <c r="K14" s="47" t="n">
        <f aca="false">SUM(K6:K13)</f>
        <v>2862.87181523609</v>
      </c>
      <c r="L14" s="47" t="n">
        <f aca="false">SUM(L6:L13)</f>
        <v>2924.20599537455</v>
      </c>
    </row>
    <row r="15" customFormat="false" ht="15" hidden="false" customHeight="false" outlineLevel="0" collapsed="false">
      <c r="A15" s="19" t="s">
        <v>511</v>
      </c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</row>
    <row r="16" customFormat="false" ht="15" hidden="false" customHeight="false" outlineLevel="0" collapsed="false">
      <c r="A16" s="4" t="s">
        <v>512</v>
      </c>
      <c r="B16" s="17" t="s">
        <v>89</v>
      </c>
      <c r="C16" s="24" t="n">
        <v>41.476</v>
      </c>
      <c r="D16" s="24" t="n">
        <v>53.205</v>
      </c>
      <c r="E16" s="24" t="n">
        <v>43.324</v>
      </c>
      <c r="F16" s="24" t="n">
        <v>46.98</v>
      </c>
      <c r="G16" s="24" t="n">
        <v>51.354</v>
      </c>
      <c r="H16" s="43" t="n">
        <f aca="false">-'Income Statement'!H13*Scenarios!H86/365</f>
        <v>57.7238593438356</v>
      </c>
      <c r="I16" s="43" t="n">
        <f aca="false">-'Income Statement'!I13*Scenarios!I86/365</f>
        <v>58.7917507416966</v>
      </c>
      <c r="J16" s="43" t="n">
        <f aca="false">-'Income Statement'!J13*Scenarios!J86/365</f>
        <v>61.7313382787814</v>
      </c>
      <c r="K16" s="43" t="n">
        <f aca="false">-'Income Statement'!K13*Scenarios!K86/365</f>
        <v>64.842597728032</v>
      </c>
      <c r="L16" s="43" t="n">
        <f aca="false">-'Income Statement'!L13*Scenarios!L86/365</f>
        <v>67.7832095349983</v>
      </c>
    </row>
    <row r="17" customFormat="false" ht="15" hidden="false" customHeight="false" outlineLevel="0" collapsed="false">
      <c r="A17" s="4" t="s">
        <v>513</v>
      </c>
      <c r="B17" s="17" t="s">
        <v>89</v>
      </c>
      <c r="C17" s="24" t="n">
        <v>157.038</v>
      </c>
      <c r="D17" s="24" t="n">
        <v>139.051</v>
      </c>
      <c r="E17" s="24" t="n">
        <v>113.333</v>
      </c>
      <c r="F17" s="24" t="n">
        <v>174.671</v>
      </c>
      <c r="G17" s="24" t="n">
        <v>184.062</v>
      </c>
      <c r="H17" s="43" t="n">
        <f aca="false">'Income Statement'!H9*Scenarios!H85/365</f>
        <v>224.057425842686</v>
      </c>
      <c r="I17" s="43" t="n">
        <f aca="false">'Income Statement'!I9*Scenarios!I85/365</f>
        <v>214.415652628462</v>
      </c>
      <c r="J17" s="43" t="n">
        <f aca="false">'Income Statement'!J9*Scenarios!J85/365</f>
        <v>215.173563400962</v>
      </c>
      <c r="K17" s="43" t="n">
        <f aca="false">'Income Statement'!K9*Scenarios!K85/365</f>
        <v>224.03323756165</v>
      </c>
      <c r="L17" s="43" t="n">
        <f aca="false">'Income Statement'!L9*Scenarios!L85/365</f>
        <v>234.041027766157</v>
      </c>
    </row>
    <row r="18" customFormat="false" ht="15" hidden="false" customHeight="false" outlineLevel="0" collapsed="false">
      <c r="A18" s="4" t="s">
        <v>514</v>
      </c>
      <c r="B18" s="17" t="s">
        <v>89</v>
      </c>
      <c r="C18" s="24" t="n">
        <v>34.929</v>
      </c>
      <c r="D18" s="24" t="n">
        <v>34.487</v>
      </c>
      <c r="E18" s="24" t="n">
        <v>37.34</v>
      </c>
      <c r="F18" s="24" t="n">
        <v>54.396</v>
      </c>
      <c r="G18" s="24" t="n">
        <v>39.018</v>
      </c>
      <c r="H18" s="43" t="n">
        <f aca="false">'Income Statement'!H9*Scenarios!H87</f>
        <v>50.6263088392165</v>
      </c>
      <c r="I18" s="43" t="n">
        <f aca="false">'Income Statement'!I9*Scenarios!I87</f>
        <v>48.4477272248596</v>
      </c>
      <c r="J18" s="43" t="n">
        <f aca="false">'Income Statement'!J9*Scenarios!J87</f>
        <v>48.6189789684555</v>
      </c>
      <c r="K18" s="43" t="n">
        <f aca="false">'Income Statement'!K9*Scenarios!K87</f>
        <v>50.6208434395253</v>
      </c>
      <c r="L18" s="43" t="n">
        <f aca="false">'Income Statement'!L9*Scenarios!L87</f>
        <v>52.8821274643055</v>
      </c>
    </row>
    <row r="19" customFormat="false" ht="15" hidden="false" customHeight="false" outlineLevel="0" collapsed="false">
      <c r="A19" s="4" t="s">
        <v>509</v>
      </c>
      <c r="B19" s="17" t="s">
        <v>89</v>
      </c>
      <c r="C19" s="24" t="n">
        <v>0.329</v>
      </c>
      <c r="D19" s="24" t="n">
        <v>5.116</v>
      </c>
      <c r="E19" s="24" t="n">
        <v>1.485</v>
      </c>
      <c r="F19" s="24" t="n">
        <v>2.288</v>
      </c>
      <c r="G19" s="24" t="n">
        <v>0.387</v>
      </c>
      <c r="H19" s="43" t="n">
        <f aca="false">G19</f>
        <v>0.387</v>
      </c>
      <c r="I19" s="43" t="n">
        <f aca="false">H19</f>
        <v>0.387</v>
      </c>
      <c r="J19" s="43" t="n">
        <f aca="false">I19</f>
        <v>0.387</v>
      </c>
      <c r="K19" s="43" t="n">
        <f aca="false">J19</f>
        <v>0.387</v>
      </c>
      <c r="L19" s="43" t="n">
        <f aca="false">K19</f>
        <v>0.387</v>
      </c>
    </row>
    <row r="20" customFormat="false" ht="15" hidden="false" customHeight="false" outlineLevel="0" collapsed="false">
      <c r="A20" s="4" t="s">
        <v>515</v>
      </c>
      <c r="B20" s="17" t="s">
        <v>89</v>
      </c>
      <c r="C20" s="24" t="n">
        <v>32.105</v>
      </c>
      <c r="D20" s="24" t="n">
        <v>15.58</v>
      </c>
      <c r="E20" s="24" t="n">
        <v>14.78</v>
      </c>
      <c r="F20" s="24" t="n">
        <v>0.69</v>
      </c>
      <c r="G20" s="24" t="n">
        <v>167.386</v>
      </c>
      <c r="H20" s="38" t="n">
        <f aca="false">Scenarios!H93</f>
        <v>75</v>
      </c>
      <c r="I20" s="38" t="n">
        <f aca="false">Scenarios!I93</f>
        <v>75</v>
      </c>
      <c r="J20" s="38" t="n">
        <f aca="false">Scenarios!J93</f>
        <v>75</v>
      </c>
      <c r="K20" s="38" t="n">
        <f aca="false">Scenarios!K93</f>
        <v>75</v>
      </c>
      <c r="L20" s="38" t="n">
        <f aca="false">Scenarios!L93</f>
        <v>75</v>
      </c>
    </row>
    <row r="21" customFormat="false" ht="15" hidden="false" customHeight="false" outlineLevel="0" collapsed="false">
      <c r="A21" s="4" t="s">
        <v>516</v>
      </c>
      <c r="B21" s="17" t="s">
        <v>89</v>
      </c>
      <c r="C21" s="24" t="n">
        <v>225.217</v>
      </c>
      <c r="D21" s="24" t="n">
        <v>436.868</v>
      </c>
      <c r="E21" s="24" t="n">
        <v>294.113</v>
      </c>
      <c r="F21" s="24" t="n">
        <v>608.401</v>
      </c>
      <c r="G21" s="24" t="n">
        <v>537.644</v>
      </c>
      <c r="H21" s="38" t="n">
        <f aca="false">Scenarios!H92</f>
        <v>650</v>
      </c>
      <c r="I21" s="38" t="n">
        <f aca="false">Scenarios!I92</f>
        <v>650</v>
      </c>
      <c r="J21" s="38" t="n">
        <f aca="false">Scenarios!J92</f>
        <v>650</v>
      </c>
      <c r="K21" s="38" t="n">
        <f aca="false">Scenarios!K92</f>
        <v>650</v>
      </c>
      <c r="L21" s="38" t="n">
        <f aca="false">Scenarios!L92</f>
        <v>650</v>
      </c>
      <c r="M21" s="17" t="s">
        <v>517</v>
      </c>
    </row>
    <row r="22" customFormat="false" ht="15" hidden="false" customHeight="false" outlineLevel="0" collapsed="false">
      <c r="A22" s="4" t="s">
        <v>518</v>
      </c>
      <c r="B22" s="17" t="s">
        <v>89</v>
      </c>
      <c r="C22" s="24" t="n">
        <v>694.264</v>
      </c>
      <c r="D22" s="24" t="n">
        <v>544.663</v>
      </c>
      <c r="E22" s="24" t="n">
        <v>122.21</v>
      </c>
      <c r="F22" s="24" t="n">
        <v>136.093</v>
      </c>
      <c r="G22" s="24" t="n">
        <v>243.584</v>
      </c>
      <c r="H22" s="38" t="n">
        <f aca="false">'Cash Flow'!H42</f>
        <v>222.244807105761</v>
      </c>
      <c r="I22" s="38" t="n">
        <f aca="false">'Cash Flow'!I42</f>
        <v>223.697156274235</v>
      </c>
      <c r="J22" s="38" t="n">
        <f aca="false">'Cash Flow'!J42</f>
        <v>186.135120775558</v>
      </c>
      <c r="K22" s="38" t="n">
        <f aca="false">'Cash Flow'!K42</f>
        <v>372.512955579098</v>
      </c>
      <c r="L22" s="38" t="n">
        <f aca="false">'Cash Flow'!L42</f>
        <v>582.966310506077</v>
      </c>
    </row>
    <row r="23" customFormat="false" ht="15" hidden="false" customHeight="false" outlineLevel="0" collapsed="false">
      <c r="A23" s="13" t="s">
        <v>519</v>
      </c>
      <c r="B23" s="17" t="s">
        <v>89</v>
      </c>
      <c r="C23" s="46" t="n">
        <f aca="false">SUM(C16:C22)</f>
        <v>1185.358</v>
      </c>
      <c r="D23" s="46" t="n">
        <f aca="false">SUM(D16:D22)</f>
        <v>1228.97</v>
      </c>
      <c r="E23" s="46" t="n">
        <f aca="false">SUM(E16:E22)</f>
        <v>626.585</v>
      </c>
      <c r="F23" s="46" t="n">
        <f aca="false">SUM(F16:F22)</f>
        <v>1023.519</v>
      </c>
      <c r="G23" s="46" t="n">
        <f aca="false">SUM(G16:G22)</f>
        <v>1223.435</v>
      </c>
      <c r="H23" s="47" t="n">
        <f aca="false">SUM(H16:H22)</f>
        <v>1280.0394011315</v>
      </c>
      <c r="I23" s="47" t="n">
        <f aca="false">SUM(I16:I22)</f>
        <v>1270.73928686925</v>
      </c>
      <c r="J23" s="47" t="n">
        <f aca="false">SUM(J16:J22)</f>
        <v>1237.04600142376</v>
      </c>
      <c r="K23" s="47" t="n">
        <f aca="false">SUM(K16:K22)</f>
        <v>1437.39663430831</v>
      </c>
      <c r="L23" s="47" t="n">
        <f aca="false">SUM(L16:L22)</f>
        <v>1663.05967527154</v>
      </c>
    </row>
    <row r="24" customFormat="false" ht="15" hidden="false" customHeight="false" outlineLevel="0" collapsed="false">
      <c r="A24" s="13" t="s">
        <v>520</v>
      </c>
      <c r="B24" s="17" t="s">
        <v>89</v>
      </c>
      <c r="C24" s="46" t="n">
        <f aca="false">C14+C23</f>
        <v>2716.423</v>
      </c>
      <c r="D24" s="46" t="n">
        <f aca="false">D14+D23</f>
        <v>3082.856</v>
      </c>
      <c r="E24" s="46" t="n">
        <f aca="false">E14+E23</f>
        <v>2652.463</v>
      </c>
      <c r="F24" s="46" t="n">
        <f aca="false">F14+F23</f>
        <v>3198.073</v>
      </c>
      <c r="G24" s="46" t="n">
        <f aca="false">G14+G23</f>
        <v>3477.57</v>
      </c>
      <c r="H24" s="47" t="n">
        <f aca="false">H14+H23</f>
        <v>3569.8170411315</v>
      </c>
      <c r="I24" s="47" t="n">
        <f aca="false">I14+I23</f>
        <v>3842.33403662925</v>
      </c>
      <c r="J24" s="47" t="n">
        <f aca="false">J14+J23</f>
        <v>4040.96450845992</v>
      </c>
      <c r="K24" s="47" t="n">
        <f aca="false">K14+K23</f>
        <v>4300.26844954439</v>
      </c>
      <c r="L24" s="47" t="n">
        <f aca="false">L14+L23</f>
        <v>4587.26567064609</v>
      </c>
    </row>
    <row r="25" customFormat="false" ht="15" hidden="false" customHeight="false" outlineLevel="0" collapsed="false">
      <c r="A25" s="19" t="s">
        <v>521</v>
      </c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</row>
    <row r="26" customFormat="false" ht="15" hidden="false" customHeight="false" outlineLevel="0" collapsed="false">
      <c r="A26" s="4" t="s">
        <v>522</v>
      </c>
      <c r="B26" s="17" t="s">
        <v>89</v>
      </c>
      <c r="C26" s="24" t="n">
        <v>201.857</v>
      </c>
      <c r="D26" s="24" t="n">
        <v>209.102</v>
      </c>
      <c r="E26" s="24" t="n">
        <v>203.514</v>
      </c>
      <c r="F26" s="24" t="n">
        <v>233.68</v>
      </c>
      <c r="G26" s="24" t="n">
        <v>235.244</v>
      </c>
      <c r="H26" s="43" t="n">
        <f aca="false">-'Income Statement'!H17*Scenarios!H88/365</f>
        <v>257.087242791507</v>
      </c>
      <c r="I26" s="43" t="n">
        <f aca="false">-'Income Statement'!I17*Scenarios!I88/365</f>
        <v>269.522451385686</v>
      </c>
      <c r="J26" s="43" t="n">
        <f aca="false">-'Income Statement'!J17*Scenarios!J88/365</f>
        <v>285.681774268415</v>
      </c>
      <c r="K26" s="43" t="n">
        <f aca="false">-'Income Statement'!K17*Scenarios!K88/365</f>
        <v>300.634914833145</v>
      </c>
      <c r="L26" s="43" t="n">
        <f aca="false">-'Income Statement'!L17*Scenarios!L88/365</f>
        <v>312.972316770181</v>
      </c>
    </row>
    <row r="27" customFormat="false" ht="15" hidden="false" customHeight="false" outlineLevel="0" collapsed="false">
      <c r="A27" s="4" t="s">
        <v>523</v>
      </c>
      <c r="B27" s="17" t="s">
        <v>89</v>
      </c>
      <c r="C27" s="24" t="n">
        <v>173.445</v>
      </c>
      <c r="D27" s="24" t="n">
        <v>177.092</v>
      </c>
      <c r="E27" s="24" t="n">
        <v>137.265</v>
      </c>
      <c r="F27" s="24" t="n">
        <v>143.332</v>
      </c>
      <c r="G27" s="24" t="n">
        <v>164.932</v>
      </c>
      <c r="H27" s="43" t="n">
        <f aca="false">'Income Statement'!H9*Scenarios!H89</f>
        <v>183.033578111014</v>
      </c>
      <c r="I27" s="43" t="n">
        <f aca="false">'Income Statement'!I9*Scenarios!I89</f>
        <v>175.157167659108</v>
      </c>
      <c r="J27" s="43" t="n">
        <f aca="false">'Income Statement'!J9*Scenarios!J89</f>
        <v>175.776308578262</v>
      </c>
      <c r="K27" s="43" t="n">
        <f aca="false">'Income Statement'!K9*Scenarios!K89</f>
        <v>183.013818589053</v>
      </c>
      <c r="L27" s="43" t="n">
        <f aca="false">'Income Statement'!L9*Scenarios!L89</f>
        <v>191.189230063258</v>
      </c>
    </row>
    <row r="28" customFormat="false" ht="15" hidden="false" customHeight="false" outlineLevel="0" collapsed="false">
      <c r="A28" s="4" t="s">
        <v>509</v>
      </c>
      <c r="B28" s="17" t="s">
        <v>89</v>
      </c>
      <c r="C28" s="24" t="n">
        <v>0.051</v>
      </c>
      <c r="D28" s="24" t="n">
        <v>2.992</v>
      </c>
      <c r="E28" s="24" t="n">
        <v>0</v>
      </c>
      <c r="F28" s="24" t="n">
        <v>1.001</v>
      </c>
      <c r="G28" s="24" t="n">
        <v>0</v>
      </c>
      <c r="H28" s="43" t="n">
        <f aca="false">G28</f>
        <v>0</v>
      </c>
      <c r="I28" s="43" t="n">
        <f aca="false">H28</f>
        <v>0</v>
      </c>
      <c r="J28" s="43" t="n">
        <f aca="false">I28</f>
        <v>0</v>
      </c>
      <c r="K28" s="43" t="n">
        <f aca="false">J28</f>
        <v>0</v>
      </c>
      <c r="L28" s="43" t="n">
        <f aca="false">K28</f>
        <v>0</v>
      </c>
    </row>
    <row r="29" customFormat="false" ht="15" hidden="false" customHeight="false" outlineLevel="0" collapsed="false">
      <c r="A29" s="4" t="s">
        <v>524</v>
      </c>
      <c r="B29" s="17" t="s">
        <v>89</v>
      </c>
      <c r="C29" s="24" t="n">
        <v>83.211</v>
      </c>
      <c r="D29" s="24" t="n">
        <v>34.829</v>
      </c>
      <c r="E29" s="24" t="n">
        <v>104.219</v>
      </c>
      <c r="F29" s="24" t="n">
        <v>114.981</v>
      </c>
      <c r="G29" s="24" t="n">
        <v>18.939</v>
      </c>
      <c r="H29" s="38" t="n">
        <f aca="false">Scenarios!H94</f>
        <v>30</v>
      </c>
      <c r="I29" s="38" t="n">
        <f aca="false">Scenarios!I94</f>
        <v>0</v>
      </c>
      <c r="J29" s="38" t="n">
        <f aca="false">Scenarios!J94</f>
        <v>0</v>
      </c>
      <c r="K29" s="38" t="n">
        <f aca="false">Scenarios!K94</f>
        <v>0</v>
      </c>
      <c r="L29" s="38" t="n">
        <f aca="false">Scenarios!L94</f>
        <v>0</v>
      </c>
    </row>
    <row r="30" customFormat="false" ht="15" hidden="false" customHeight="false" outlineLevel="0" collapsed="false">
      <c r="A30" s="4" t="s">
        <v>525</v>
      </c>
      <c r="B30" s="17" t="s">
        <v>89</v>
      </c>
      <c r="C30" s="24" t="n">
        <v>48.186</v>
      </c>
      <c r="D30" s="24" t="n">
        <v>54.841</v>
      </c>
      <c r="E30" s="24" t="n">
        <v>50.937</v>
      </c>
      <c r="F30" s="24" t="n">
        <v>45.98</v>
      </c>
      <c r="G30" s="24" t="n">
        <v>59.265</v>
      </c>
      <c r="H30" s="43" t="n">
        <f aca="false">H51*Scenarios!H80</f>
        <v>67.18453452</v>
      </c>
      <c r="I30" s="43" t="n">
        <f aca="false">I51*Scenarios!I80</f>
        <v>66.7200975408</v>
      </c>
      <c r="J30" s="43" t="n">
        <f aca="false">J51*Scenarios!J80</f>
        <v>65.927942327232</v>
      </c>
      <c r="K30" s="43" t="n">
        <f aca="false">K51*Scenarios!K80</f>
        <v>64.8768897085133</v>
      </c>
      <c r="L30" s="43" t="n">
        <f aca="false">L51*Scenarios!L80</f>
        <v>63.6213081397255</v>
      </c>
    </row>
    <row r="31" customFormat="false" ht="15" hidden="false" customHeight="false" outlineLevel="0" collapsed="false">
      <c r="A31" s="4" t="s">
        <v>526</v>
      </c>
      <c r="B31" s="17" t="s">
        <v>89</v>
      </c>
      <c r="C31" s="24" t="n">
        <v>7.695</v>
      </c>
      <c r="D31" s="24" t="n">
        <v>9.508</v>
      </c>
      <c r="E31" s="24" t="n">
        <v>7.065</v>
      </c>
      <c r="F31" s="24" t="n">
        <v>5.782</v>
      </c>
      <c r="G31" s="24" t="n">
        <v>3.881</v>
      </c>
      <c r="H31" s="43" t="n">
        <f aca="false">-'Income Statement'!H47*Scenarios!H90</f>
        <v>5.1234481621197</v>
      </c>
      <c r="I31" s="43" t="n">
        <f aca="false">-'Income Statement'!I47*Scenarios!I90</f>
        <v>4.12002282490672</v>
      </c>
      <c r="J31" s="43" t="n">
        <f aca="false">-'Income Statement'!J47*Scenarios!J90</f>
        <v>3.65152348810524</v>
      </c>
      <c r="K31" s="43" t="n">
        <f aca="false">-'Income Statement'!K47*Scenarios!K90</f>
        <v>3.69733138081565</v>
      </c>
      <c r="L31" s="43" t="n">
        <f aca="false">-'Income Statement'!L47*Scenarios!L90</f>
        <v>3.91225874632429</v>
      </c>
    </row>
    <row r="32" customFormat="false" ht="15" hidden="false" customHeight="false" outlineLevel="0" collapsed="false">
      <c r="A32" s="4" t="s">
        <v>527</v>
      </c>
      <c r="B32" s="17" t="s">
        <v>89</v>
      </c>
      <c r="C32" s="24" t="n">
        <v>270.829</v>
      </c>
      <c r="D32" s="24" t="n">
        <v>0</v>
      </c>
      <c r="E32" s="24" t="n">
        <v>0</v>
      </c>
      <c r="F32" s="24" t="n">
        <v>0</v>
      </c>
      <c r="G32" s="24" t="n">
        <v>242.831</v>
      </c>
      <c r="H32" s="38" t="n">
        <f aca="false">Scenarios!H95</f>
        <v>0</v>
      </c>
      <c r="I32" s="38" t="n">
        <f aca="false">Scenarios!I95</f>
        <v>0</v>
      </c>
      <c r="J32" s="38" t="n">
        <f aca="false">Scenarios!J95</f>
        <v>0</v>
      </c>
      <c r="K32" s="38" t="n">
        <f aca="false">Scenarios!K95</f>
        <v>0</v>
      </c>
      <c r="L32" s="38" t="n">
        <f aca="false">Scenarios!L95</f>
        <v>0</v>
      </c>
    </row>
    <row r="33" customFormat="false" ht="15" hidden="false" customHeight="false" outlineLevel="0" collapsed="false">
      <c r="A33" s="13" t="s">
        <v>528</v>
      </c>
      <c r="B33" s="17" t="s">
        <v>89</v>
      </c>
      <c r="C33" s="46" t="n">
        <f aca="false">SUM(C26:C32)</f>
        <v>785.274</v>
      </c>
      <c r="D33" s="46" t="n">
        <f aca="false">SUM(D26:D32)</f>
        <v>488.364</v>
      </c>
      <c r="E33" s="46" t="n">
        <f aca="false">SUM(E26:E32)</f>
        <v>503</v>
      </c>
      <c r="F33" s="46" t="n">
        <f aca="false">SUM(F26:F32)</f>
        <v>544.756</v>
      </c>
      <c r="G33" s="46" t="n">
        <f aca="false">SUM(G26:G32)</f>
        <v>725.092</v>
      </c>
      <c r="H33" s="47" t="n">
        <f aca="false">SUM(H26:H32)</f>
        <v>542.42880358464</v>
      </c>
      <c r="I33" s="47" t="n">
        <f aca="false">SUM(I26:I32)</f>
        <v>515.5197394105</v>
      </c>
      <c r="J33" s="47" t="n">
        <f aca="false">SUM(J26:J32)</f>
        <v>531.037548662014</v>
      </c>
      <c r="K33" s="47" t="n">
        <f aca="false">SUM(K26:K32)</f>
        <v>552.222954511527</v>
      </c>
      <c r="L33" s="47" t="n">
        <f aca="false">SUM(L26:L32)</f>
        <v>571.695113719489</v>
      </c>
    </row>
    <row r="34" customFormat="false" ht="15" hidden="false" customHeight="false" outlineLevel="0" collapsed="false">
      <c r="A34" s="19" t="s">
        <v>529</v>
      </c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</row>
    <row r="35" customFormat="false" ht="15" hidden="false" customHeight="false" outlineLevel="0" collapsed="false">
      <c r="A35" s="4" t="s">
        <v>530</v>
      </c>
      <c r="B35" s="17" t="s">
        <v>89</v>
      </c>
      <c r="C35" s="24" t="n">
        <v>244.06</v>
      </c>
      <c r="D35" s="24" t="n">
        <v>236.609</v>
      </c>
      <c r="E35" s="24" t="n">
        <v>64.815</v>
      </c>
      <c r="F35" s="24" t="n">
        <v>51.876</v>
      </c>
      <c r="G35" s="24" t="n">
        <v>0</v>
      </c>
      <c r="H35" s="38" t="n">
        <f aca="false">'Cash Flow'!H45</f>
        <v>0</v>
      </c>
      <c r="I35" s="38" t="n">
        <f aca="false">'Cash Flow'!I45</f>
        <v>0</v>
      </c>
      <c r="J35" s="38" t="n">
        <f aca="false">'Cash Flow'!J45</f>
        <v>0</v>
      </c>
      <c r="K35" s="38" t="n">
        <f aca="false">'Cash Flow'!K45</f>
        <v>0</v>
      </c>
      <c r="L35" s="38" t="n">
        <f aca="false">'Cash Flow'!L45</f>
        <v>0</v>
      </c>
    </row>
    <row r="36" customFormat="false" ht="15" hidden="false" customHeight="false" outlineLevel="0" collapsed="false">
      <c r="A36" s="4" t="s">
        <v>525</v>
      </c>
      <c r="B36" s="17" t="s">
        <v>89</v>
      </c>
      <c r="C36" s="24" t="n">
        <v>168.409</v>
      </c>
      <c r="D36" s="24" t="n">
        <v>189.758</v>
      </c>
      <c r="E36" s="24" t="n">
        <v>150.733</v>
      </c>
      <c r="F36" s="24" t="n">
        <v>175.984</v>
      </c>
      <c r="G36" s="24" t="n">
        <v>246.042</v>
      </c>
      <c r="H36" s="43" t="n">
        <f aca="false">H51-H30</f>
        <v>231.41339668</v>
      </c>
      <c r="I36" s="43" t="n">
        <f aca="false">I51-I30</f>
        <v>229.8136693072</v>
      </c>
      <c r="J36" s="43" t="n">
        <f aca="false">J51-J30</f>
        <v>227.085134682688</v>
      </c>
      <c r="K36" s="43" t="n">
        <f aca="false">K51-K30</f>
        <v>223.464842329324</v>
      </c>
      <c r="L36" s="43" t="n">
        <f aca="false">L51-L30</f>
        <v>219.140061370166</v>
      </c>
    </row>
    <row r="37" customFormat="false" ht="15" hidden="false" customHeight="false" outlineLevel="0" collapsed="false">
      <c r="A37" s="4" t="s">
        <v>509</v>
      </c>
      <c r="B37" s="17" t="s">
        <v>89</v>
      </c>
      <c r="C37" s="24" t="n">
        <v>0.195</v>
      </c>
      <c r="D37" s="24" t="n">
        <v>0</v>
      </c>
      <c r="E37" s="24" t="n">
        <v>0</v>
      </c>
      <c r="F37" s="24" t="n">
        <v>0</v>
      </c>
      <c r="G37" s="24" t="n">
        <v>0</v>
      </c>
      <c r="H37" s="43" t="n">
        <f aca="false">G37</f>
        <v>0</v>
      </c>
      <c r="I37" s="43" t="n">
        <f aca="false">H37</f>
        <v>0</v>
      </c>
      <c r="J37" s="43" t="n">
        <f aca="false">I37</f>
        <v>0</v>
      </c>
      <c r="K37" s="43" t="n">
        <f aca="false">J37</f>
        <v>0</v>
      </c>
      <c r="L37" s="43" t="n">
        <f aca="false">K37</f>
        <v>0</v>
      </c>
    </row>
    <row r="38" customFormat="false" ht="15" hidden="false" customHeight="false" outlineLevel="0" collapsed="false">
      <c r="A38" s="4" t="s">
        <v>531</v>
      </c>
      <c r="B38" s="17" t="s">
        <v>89</v>
      </c>
      <c r="C38" s="24" t="n">
        <v>2.801</v>
      </c>
      <c r="D38" s="24" t="n">
        <v>3.114</v>
      </c>
      <c r="E38" s="24" t="n">
        <v>2.857</v>
      </c>
      <c r="F38" s="24" t="n">
        <v>3.953</v>
      </c>
      <c r="G38" s="24" t="n">
        <v>5.23</v>
      </c>
      <c r="H38" s="43" t="n">
        <f aca="false">G38</f>
        <v>5.23</v>
      </c>
      <c r="I38" s="43" t="n">
        <f aca="false">H38</f>
        <v>5.23</v>
      </c>
      <c r="J38" s="43" t="n">
        <f aca="false">I38</f>
        <v>5.23</v>
      </c>
      <c r="K38" s="43" t="n">
        <f aca="false">J38</f>
        <v>5.23</v>
      </c>
      <c r="L38" s="43" t="n">
        <f aca="false">K38</f>
        <v>5.23</v>
      </c>
    </row>
    <row r="39" customFormat="false" ht="15" hidden="false" customHeight="false" outlineLevel="0" collapsed="false">
      <c r="A39" s="13" t="s">
        <v>532</v>
      </c>
      <c r="B39" s="17" t="s">
        <v>89</v>
      </c>
      <c r="C39" s="46" t="n">
        <f aca="false">SUM(C35:C38)</f>
        <v>415.465</v>
      </c>
      <c r="D39" s="46" t="n">
        <f aca="false">SUM(D35:D38)</f>
        <v>429.481</v>
      </c>
      <c r="E39" s="46" t="n">
        <f aca="false">SUM(E35:E38)</f>
        <v>218.405</v>
      </c>
      <c r="F39" s="46" t="n">
        <f aca="false">SUM(F35:F38)</f>
        <v>231.813</v>
      </c>
      <c r="G39" s="46" t="n">
        <f aca="false">SUM(G35:G38)</f>
        <v>251.272</v>
      </c>
      <c r="H39" s="47" t="n">
        <f aca="false">SUM(H35:H38)</f>
        <v>236.64339668</v>
      </c>
      <c r="I39" s="47" t="n">
        <f aca="false">SUM(I35:I38)</f>
        <v>235.0436693072</v>
      </c>
      <c r="J39" s="47" t="n">
        <f aca="false">SUM(J35:J38)</f>
        <v>232.315134682688</v>
      </c>
      <c r="K39" s="47" t="n">
        <f aca="false">SUM(K35:K38)</f>
        <v>228.694842329324</v>
      </c>
      <c r="L39" s="47" t="n">
        <f aca="false">SUM(L35:L38)</f>
        <v>224.370061370166</v>
      </c>
    </row>
    <row r="40" customFormat="false" ht="15" hidden="false" customHeight="false" outlineLevel="0" collapsed="false">
      <c r="A40" s="13" t="s">
        <v>533</v>
      </c>
      <c r="B40" s="17" t="s">
        <v>89</v>
      </c>
      <c r="C40" s="46" t="n">
        <f aca="false">C33+C39</f>
        <v>1200.739</v>
      </c>
      <c r="D40" s="46" t="n">
        <f aca="false">D33+D39</f>
        <v>917.845</v>
      </c>
      <c r="E40" s="46" t="n">
        <f aca="false">E33+E39</f>
        <v>721.405</v>
      </c>
      <c r="F40" s="46" t="n">
        <f aca="false">F33+F39</f>
        <v>776.569</v>
      </c>
      <c r="G40" s="46" t="n">
        <f aca="false">G33+G39</f>
        <v>976.364</v>
      </c>
      <c r="H40" s="47" t="n">
        <f aca="false">H33+H39</f>
        <v>779.07220026464</v>
      </c>
      <c r="I40" s="47" t="n">
        <f aca="false">I33+I39</f>
        <v>750.5634087177</v>
      </c>
      <c r="J40" s="47" t="n">
        <f aca="false">J33+J39</f>
        <v>763.352683344702</v>
      </c>
      <c r="K40" s="47" t="n">
        <f aca="false">K33+K39</f>
        <v>780.91779684085</v>
      </c>
      <c r="L40" s="47" t="n">
        <f aca="false">L33+L39</f>
        <v>796.065175089655</v>
      </c>
    </row>
    <row r="41" customFormat="false" ht="15" hidden="false" customHeight="false" outlineLevel="0" collapsed="false">
      <c r="A41" s="19" t="s">
        <v>534</v>
      </c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</row>
    <row r="42" customFormat="false" ht="15" hidden="false" customHeight="false" outlineLevel="0" collapsed="false">
      <c r="A42" s="4" t="s">
        <v>535</v>
      </c>
      <c r="B42" s="17" t="s">
        <v>89</v>
      </c>
      <c r="C42" s="24" t="n">
        <v>34.581</v>
      </c>
      <c r="D42" s="24" t="n">
        <v>34.582</v>
      </c>
      <c r="E42" s="24" t="n">
        <v>34.583</v>
      </c>
      <c r="F42" s="24" t="n">
        <v>34.641</v>
      </c>
      <c r="G42" s="24" t="n">
        <v>34.806</v>
      </c>
      <c r="H42" s="43" t="n">
        <f aca="false">G42</f>
        <v>34.806</v>
      </c>
      <c r="I42" s="43" t="n">
        <f aca="false">H42</f>
        <v>34.806</v>
      </c>
      <c r="J42" s="43" t="n">
        <f aca="false">I42</f>
        <v>34.806</v>
      </c>
      <c r="K42" s="43" t="n">
        <f aca="false">J42</f>
        <v>34.806</v>
      </c>
      <c r="L42" s="43" t="n">
        <f aca="false">K42</f>
        <v>34.806</v>
      </c>
    </row>
    <row r="43" customFormat="false" ht="15" hidden="false" customHeight="false" outlineLevel="0" collapsed="false">
      <c r="A43" s="4" t="s">
        <v>536</v>
      </c>
      <c r="B43" s="17" t="s">
        <v>89</v>
      </c>
      <c r="C43" s="25" t="n">
        <f aca="false">C44-C42</f>
        <v>1467.106</v>
      </c>
      <c r="D43" s="25" t="n">
        <f aca="false">D44-D42</f>
        <v>2115.958</v>
      </c>
      <c r="E43" s="25" t="n">
        <f aca="false">E44-E42</f>
        <v>1879.953</v>
      </c>
      <c r="F43" s="25" t="n">
        <f aca="false">F44-F42</f>
        <v>2369.595</v>
      </c>
      <c r="G43" s="25" t="n">
        <f aca="false">G44-G42</f>
        <v>2443.732</v>
      </c>
      <c r="H43" s="43" t="n">
        <f aca="false">H44-H42</f>
        <v>2727.04946790153</v>
      </c>
      <c r="I43" s="43" t="n">
        <f aca="false">I44-I42</f>
        <v>3023.07233546537</v>
      </c>
      <c r="J43" s="43" t="n">
        <f aca="false">J44-J42</f>
        <v>3204.47950917697</v>
      </c>
      <c r="K43" s="43" t="n">
        <f aca="false">K44-K42</f>
        <v>3441.72868901858</v>
      </c>
      <c r="L43" s="43" t="n">
        <f aca="false">L44-L42</f>
        <v>3708.8278990891</v>
      </c>
    </row>
    <row r="44" customFormat="false" ht="15" hidden="false" customHeight="false" outlineLevel="0" collapsed="false">
      <c r="A44" s="13" t="s">
        <v>537</v>
      </c>
      <c r="B44" s="17" t="s">
        <v>89</v>
      </c>
      <c r="C44" s="54" t="n">
        <v>1501.687</v>
      </c>
      <c r="D44" s="54" t="n">
        <v>2150.54</v>
      </c>
      <c r="E44" s="54" t="n">
        <v>1914.536</v>
      </c>
      <c r="F44" s="54" t="n">
        <v>2404.236</v>
      </c>
      <c r="G44" s="54" t="n">
        <v>2478.538</v>
      </c>
      <c r="H44" s="47" t="n">
        <f aca="false">G44+'Income Statement'!H52-'Cash Flow'!H50+'Income Statement'!H62-Scenarios!H96</f>
        <v>2761.85546790153</v>
      </c>
      <c r="I44" s="47" t="n">
        <f aca="false">H44+'Income Statement'!I52-'Cash Flow'!I50+'Income Statement'!I62-Scenarios!I96</f>
        <v>3057.87833546537</v>
      </c>
      <c r="J44" s="47" t="n">
        <f aca="false">I44+'Income Statement'!J52-'Cash Flow'!J50+'Income Statement'!J62-Scenarios!J96</f>
        <v>3239.28550917697</v>
      </c>
      <c r="K44" s="47" t="n">
        <f aca="false">J44+'Income Statement'!K52-'Cash Flow'!K50+'Income Statement'!K62-Scenarios!K96</f>
        <v>3476.53468901858</v>
      </c>
      <c r="L44" s="47" t="n">
        <f aca="false">K44+'Income Statement'!L52-'Cash Flow'!L50+'Income Statement'!L62-Scenarios!L96</f>
        <v>3743.6338990891</v>
      </c>
      <c r="M44" s="17" t="s">
        <v>538</v>
      </c>
    </row>
    <row r="45" customFormat="false" ht="15" hidden="false" customHeight="false" outlineLevel="0" collapsed="false">
      <c r="A45" s="4" t="s">
        <v>338</v>
      </c>
      <c r="B45" s="17" t="s">
        <v>89</v>
      </c>
      <c r="C45" s="24" t="n">
        <v>13.997</v>
      </c>
      <c r="D45" s="24" t="n">
        <v>14.471</v>
      </c>
      <c r="E45" s="24" t="n">
        <v>16.522</v>
      </c>
      <c r="F45" s="24" t="n">
        <v>17.268</v>
      </c>
      <c r="G45" s="24" t="n">
        <v>22.668</v>
      </c>
      <c r="H45" s="43" t="n">
        <f aca="false">G45-'Income Statement'!H51+'Cash Flow'!H29</f>
        <v>28.8893729653316</v>
      </c>
      <c r="I45" s="43" t="n">
        <f aca="false">H45-'Income Statement'!I51+'Cash Flow'!I29</f>
        <v>33.8922924461874</v>
      </c>
      <c r="J45" s="43" t="n">
        <f aca="false">I45-'Income Statement'!J51+'Cash Flow'!J29</f>
        <v>38.3263159382437</v>
      </c>
      <c r="K45" s="43" t="n">
        <f aca="false">J45-'Income Statement'!K51+'Cash Flow'!K29</f>
        <v>42.81596368496</v>
      </c>
      <c r="L45" s="43" t="n">
        <f aca="false">K45-'Income Statement'!L51+'Cash Flow'!L29</f>
        <v>47.5665964673349</v>
      </c>
    </row>
    <row r="46" customFormat="false" ht="15" hidden="false" customHeight="false" outlineLevel="0" collapsed="false">
      <c r="A46" s="13" t="s">
        <v>539</v>
      </c>
      <c r="B46" s="17" t="s">
        <v>89</v>
      </c>
      <c r="C46" s="46" t="n">
        <f aca="false">C44+C45</f>
        <v>1515.684</v>
      </c>
      <c r="D46" s="46" t="n">
        <f aca="false">D44+D45</f>
        <v>2165.011</v>
      </c>
      <c r="E46" s="46" t="n">
        <f aca="false">E44+E45</f>
        <v>1931.058</v>
      </c>
      <c r="F46" s="46" t="n">
        <f aca="false">F44+F45</f>
        <v>2421.504</v>
      </c>
      <c r="G46" s="46" t="n">
        <f aca="false">G44+G45</f>
        <v>2501.206</v>
      </c>
      <c r="H46" s="47" t="n">
        <f aca="false">H44+H45</f>
        <v>2790.74484086686</v>
      </c>
      <c r="I46" s="47" t="n">
        <f aca="false">I44+I45</f>
        <v>3091.77062791155</v>
      </c>
      <c r="J46" s="47" t="n">
        <f aca="false">J44+J45</f>
        <v>3277.61182511521</v>
      </c>
      <c r="K46" s="47" t="n">
        <f aca="false">K44+K45</f>
        <v>3519.35065270354</v>
      </c>
      <c r="L46" s="47" t="n">
        <f aca="false">L44+L45</f>
        <v>3791.20049555643</v>
      </c>
    </row>
    <row r="47" customFormat="false" ht="15" hidden="false" customHeight="false" outlineLevel="0" collapsed="false">
      <c r="A47" s="13" t="s">
        <v>540</v>
      </c>
      <c r="B47" s="17" t="s">
        <v>89</v>
      </c>
      <c r="C47" s="46" t="n">
        <f aca="false">C40+C46</f>
        <v>2716.423</v>
      </c>
      <c r="D47" s="46" t="n">
        <f aca="false">D40+D46</f>
        <v>3082.856</v>
      </c>
      <c r="E47" s="46" t="n">
        <f aca="false">E40+E46</f>
        <v>2652.463</v>
      </c>
      <c r="F47" s="46" t="n">
        <f aca="false">F40+F46</f>
        <v>3198.073</v>
      </c>
      <c r="G47" s="46" t="n">
        <f aca="false">G40+G46</f>
        <v>3477.57</v>
      </c>
      <c r="H47" s="47" t="n">
        <f aca="false">H40+H46</f>
        <v>3569.8170411315</v>
      </c>
      <c r="I47" s="47" t="n">
        <f aca="false">I40+I46</f>
        <v>3842.33403662925</v>
      </c>
      <c r="J47" s="47" t="n">
        <f aca="false">J40+J46</f>
        <v>4040.96450845992</v>
      </c>
      <c r="K47" s="47" t="n">
        <f aca="false">K40+K46</f>
        <v>4300.26844954439</v>
      </c>
      <c r="L47" s="47" t="n">
        <f aca="false">L40+L46</f>
        <v>4587.26567064609</v>
      </c>
    </row>
    <row r="48" customFormat="false" ht="15" hidden="false" customHeight="false" outlineLevel="0" collapsed="false">
      <c r="A48" s="48" t="s">
        <v>541</v>
      </c>
      <c r="B48" s="17" t="s">
        <v>89</v>
      </c>
      <c r="C48" s="50" t="n">
        <f aca="false">ROUND(C24-C47,3)</f>
        <v>0</v>
      </c>
      <c r="D48" s="50" t="n">
        <f aca="false">ROUND(D24-D47,3)</f>
        <v>0</v>
      </c>
      <c r="E48" s="50" t="n">
        <f aca="false">ROUND(E24-E47,3)</f>
        <v>0</v>
      </c>
      <c r="F48" s="50" t="n">
        <f aca="false">ROUND(F24-F47,3)</f>
        <v>0</v>
      </c>
      <c r="G48" s="50" t="n">
        <f aca="false">ROUND(G24-G47,3)</f>
        <v>0</v>
      </c>
      <c r="H48" s="52" t="n">
        <f aca="false">ROUND(H24-H47,3)</f>
        <v>0</v>
      </c>
      <c r="I48" s="52" t="n">
        <f aca="false">ROUND(I24-I47,3)</f>
        <v>0</v>
      </c>
      <c r="J48" s="52" t="n">
        <f aca="false">ROUND(J24-J47,3)</f>
        <v>0</v>
      </c>
      <c r="K48" s="52" t="n">
        <f aca="false">ROUND(K24-K47,3)</f>
        <v>0</v>
      </c>
      <c r="L48" s="52" t="n">
        <f aca="false">ROUND(L24-L47,3)</f>
        <v>0</v>
      </c>
    </row>
    <row r="49" customFormat="false" ht="15" hidden="false" customHeight="false" outlineLevel="0" collapsed="false">
      <c r="A49" s="19" t="s">
        <v>542</v>
      </c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</row>
    <row r="50" customFormat="false" ht="15" hidden="false" customHeight="false" outlineLevel="0" collapsed="false">
      <c r="A50" s="48" t="s">
        <v>543</v>
      </c>
      <c r="B50" s="17" t="s">
        <v>89</v>
      </c>
      <c r="H50" s="52" t="n">
        <f aca="false">'Revenue Model'!H7*Scenarios!H46</f>
        <v>53.6</v>
      </c>
      <c r="I50" s="52" t="n">
        <f aca="false">'Revenue Model'!I7*Scenarios!I46</f>
        <v>348.4</v>
      </c>
      <c r="J50" s="52" t="n">
        <f aca="false">'Revenue Model'!J7*Scenarios!J46</f>
        <v>402</v>
      </c>
      <c r="K50" s="52" t="n">
        <f aca="false">'Revenue Model'!K7*Scenarios!K46</f>
        <v>83.08</v>
      </c>
      <c r="L50" s="52" t="n">
        <f aca="false">'Revenue Model'!L7*Scenarios!L46</f>
        <v>0</v>
      </c>
    </row>
    <row r="51" customFormat="false" ht="15" hidden="false" customHeight="false" outlineLevel="0" collapsed="false">
      <c r="A51" s="4" t="s">
        <v>544</v>
      </c>
      <c r="B51" s="17" t="s">
        <v>89</v>
      </c>
      <c r="C51" s="25" t="n">
        <f aca="false">C30+C36</f>
        <v>216.595</v>
      </c>
      <c r="D51" s="25" t="n">
        <f aca="false">D30+D36</f>
        <v>244.599</v>
      </c>
      <c r="E51" s="25" t="n">
        <f aca="false">E30+E36</f>
        <v>201.67</v>
      </c>
      <c r="F51" s="25" t="n">
        <f aca="false">F30+F36</f>
        <v>221.964</v>
      </c>
      <c r="G51" s="25" t="n">
        <f aca="false">G30+G36</f>
        <v>305.307</v>
      </c>
      <c r="H51" s="43" t="n">
        <f aca="false">G51+Scenarios!H78+'Cash Flow'!H30</f>
        <v>298.5979312</v>
      </c>
      <c r="I51" s="43" t="n">
        <f aca="false">H51+Scenarios!I78+'Cash Flow'!I30</f>
        <v>296.533766848</v>
      </c>
      <c r="J51" s="43" t="n">
        <f aca="false">I51+Scenarios!J78+'Cash Flow'!J30</f>
        <v>293.01307700992</v>
      </c>
      <c r="K51" s="43" t="n">
        <f aca="false">J51+Scenarios!K78+'Cash Flow'!K30</f>
        <v>288.341732037837</v>
      </c>
      <c r="L51" s="43" t="n">
        <f aca="false">K51+Scenarios!L78+'Cash Flow'!L30</f>
        <v>282.761369509891</v>
      </c>
    </row>
    <row r="52" customFormat="false" ht="15" hidden="false" customHeight="false" outlineLevel="0" collapsed="false">
      <c r="A52" s="4" t="s">
        <v>545</v>
      </c>
      <c r="B52" s="17" t="s">
        <v>89</v>
      </c>
      <c r="C52" s="25" t="n">
        <f aca="false">C22+C21+C20</f>
        <v>951.586</v>
      </c>
      <c r="D52" s="25" t="n">
        <f aca="false">D22+D21+D20</f>
        <v>997.111</v>
      </c>
      <c r="E52" s="25" t="n">
        <f aca="false">E22+E21+E20</f>
        <v>431.103</v>
      </c>
      <c r="F52" s="25" t="n">
        <f aca="false">F22+F21+F20</f>
        <v>745.184</v>
      </c>
      <c r="G52" s="25" t="n">
        <f aca="false">G22+G21+G20</f>
        <v>948.614</v>
      </c>
      <c r="H52" s="43" t="n">
        <f aca="false">H22+H21+H20</f>
        <v>947.244807105761</v>
      </c>
      <c r="I52" s="43" t="n">
        <f aca="false">I22+I21+I20</f>
        <v>948.697156274235</v>
      </c>
      <c r="J52" s="43" t="n">
        <f aca="false">J22+J21+J20</f>
        <v>911.135120775558</v>
      </c>
      <c r="K52" s="43" t="n">
        <f aca="false">K22+K21+K20</f>
        <v>1097.5129555791</v>
      </c>
      <c r="L52" s="43" t="n">
        <f aca="false">L22+L21+L20</f>
        <v>1307.96631050608</v>
      </c>
    </row>
    <row r="53" customFormat="false" ht="15" hidden="false" customHeight="false" outlineLevel="0" collapsed="false">
      <c r="A53" s="13" t="s">
        <v>546</v>
      </c>
      <c r="B53" s="17" t="s">
        <v>89</v>
      </c>
      <c r="C53" s="46" t="n">
        <f aca="false">C52-C29-C35</f>
        <v>624.315</v>
      </c>
      <c r="D53" s="46" t="n">
        <f aca="false">D52-D29-D35</f>
        <v>725.673</v>
      </c>
      <c r="E53" s="46" t="n">
        <f aca="false">E52-E29-E35</f>
        <v>262.069</v>
      </c>
      <c r="F53" s="46" t="n">
        <f aca="false">F52-F29-F35</f>
        <v>578.327</v>
      </c>
      <c r="G53" s="46" t="n">
        <f aca="false">G52-G29-G35</f>
        <v>929.675</v>
      </c>
      <c r="H53" s="47" t="n">
        <f aca="false">H52-H29-H35</f>
        <v>917.244807105761</v>
      </c>
      <c r="I53" s="47" t="n">
        <f aca="false">I52-I29-I35</f>
        <v>948.697156274235</v>
      </c>
      <c r="J53" s="47" t="n">
        <f aca="false">J52-J29-J35</f>
        <v>911.135120775558</v>
      </c>
      <c r="K53" s="47" t="n">
        <f aca="false">K52-K29-K35</f>
        <v>1097.5129555791</v>
      </c>
      <c r="L53" s="47" t="n">
        <f aca="false">L52-L29-L35</f>
        <v>1307.96631050608</v>
      </c>
    </row>
    <row r="54" customFormat="false" ht="15" hidden="false" customHeight="false" outlineLevel="0" collapsed="false">
      <c r="A54" s="4" t="s">
        <v>547</v>
      </c>
      <c r="B54" s="17" t="s">
        <v>89</v>
      </c>
      <c r="C54" s="25" t="n">
        <f aca="false">C53-C51</f>
        <v>407.72</v>
      </c>
      <c r="D54" s="25" t="n">
        <f aca="false">D53-D51</f>
        <v>481.074</v>
      </c>
      <c r="E54" s="25" t="n">
        <f aca="false">E53-E51</f>
        <v>60.3989999999999</v>
      </c>
      <c r="F54" s="25" t="n">
        <f aca="false">F53-F51</f>
        <v>356.363</v>
      </c>
      <c r="G54" s="25" t="n">
        <f aca="false">G53-G51</f>
        <v>624.368</v>
      </c>
      <c r="H54" s="43" t="n">
        <f aca="false">H53-H51</f>
        <v>618.646875905761</v>
      </c>
      <c r="I54" s="43" t="n">
        <f aca="false">I53-I51</f>
        <v>652.163389426235</v>
      </c>
      <c r="J54" s="43" t="n">
        <f aca="false">J53-J51</f>
        <v>618.122043765638</v>
      </c>
      <c r="K54" s="43" t="n">
        <f aca="false">K53-K51</f>
        <v>809.171223541261</v>
      </c>
      <c r="L54" s="43" t="n">
        <f aca="false">L53-L51</f>
        <v>1025.20494099619</v>
      </c>
    </row>
    <row r="55" customFormat="false" ht="15" hidden="false" customHeight="false" outlineLevel="0" collapsed="false">
      <c r="A55" s="4" t="s">
        <v>548</v>
      </c>
      <c r="B55" s="17" t="s">
        <v>128</v>
      </c>
      <c r="D55" s="9" t="n">
        <f aca="false">'Income Statement'!D52/AVERAGE(D44,C44)</f>
        <v>1.06478868920251</v>
      </c>
      <c r="E55" s="9" t="n">
        <f aca="false">'Income Statement'!E52/AVERAGE(E44,D44)</f>
        <v>0.261443082490955</v>
      </c>
      <c r="F55" s="9" t="n">
        <f aca="false">'Income Statement'!F52/AVERAGE(F44,E44)</f>
        <v>0.476211756490039</v>
      </c>
      <c r="G55" s="9" t="n">
        <f aca="false">'Income Statement'!G52/AVERAGE(G44,F44)</f>
        <v>0.500898464684214</v>
      </c>
      <c r="H55" s="40" t="n">
        <f aca="false">'Income Statement'!H52/AVERAGE(H44,G44)</f>
        <v>0.561939331774929</v>
      </c>
      <c r="I55" s="40" t="n">
        <f aca="false">'Income Statement'!I52/AVERAGE(I44,H44)</f>
        <v>0.406899805778363</v>
      </c>
      <c r="J55" s="40" t="n">
        <f aca="false">'Income Statement'!J52/AVERAGE(J44,I44)</f>
        <v>0.333288313811137</v>
      </c>
      <c r="K55" s="40" t="n">
        <f aca="false">'Income Statement'!K52/AVERAGE(K44,J44)</f>
        <v>0.316431928004373</v>
      </c>
      <c r="L55" s="40" t="n">
        <f aca="false">'Income Statement'!L52/AVERAGE(L44,K44)</f>
        <v>0.311437721001115</v>
      </c>
    </row>
    <row r="56" customFormat="false" ht="15" hidden="false" customHeight="false" outlineLevel="0" collapsed="false">
      <c r="A56" s="4" t="s">
        <v>549</v>
      </c>
      <c r="B56" s="17" t="s">
        <v>68</v>
      </c>
      <c r="C56" s="27" t="n">
        <f aca="false">C44/Inputs!$C$12*Inputs!$C$7</f>
        <v>4.34263531900315</v>
      </c>
      <c r="D56" s="27" t="n">
        <f aca="false">D44/Inputs!$C$12*Inputs!$C$7</f>
        <v>6.21901298934401</v>
      </c>
      <c r="E56" s="27" t="n">
        <f aca="false">E44/Inputs!$C$12*Inputs!$C$7</f>
        <v>5.53652768726307</v>
      </c>
      <c r="F56" s="27" t="n">
        <f aca="false">F44/Inputs!$C$12*Inputs!$C$7</f>
        <v>6.95266068682679</v>
      </c>
      <c r="G56" s="27" t="n">
        <f aca="false">G44/Inputs!$C$12*Inputs!$C$7</f>
        <v>7.16753002342794</v>
      </c>
      <c r="H56" s="65" t="n">
        <f aca="false">H44/Inputs!$C$12*Inputs!$C$7</f>
        <v>7.9868382032282</v>
      </c>
      <c r="I56" s="65" t="n">
        <f aca="false">I44/Inputs!$C$12*Inputs!$C$7</f>
        <v>8.84288833878595</v>
      </c>
      <c r="J56" s="65" t="n">
        <f aca="false">J44/Inputs!$C$12*Inputs!$C$7</f>
        <v>9.36748847162359</v>
      </c>
      <c r="K56" s="65" t="n">
        <f aca="false">K44/Inputs!$C$12*Inputs!$C$7</f>
        <v>10.0535746319118</v>
      </c>
      <c r="L56" s="65" t="n">
        <f aca="false">L44/Inputs!$C$12*Inputs!$C$7</f>
        <v>10.8259822397089</v>
      </c>
    </row>
    <row r="57" customFormat="false" ht="15" hidden="false" customHeight="false" outlineLevel="0" collapsed="false">
      <c r="A57" s="4" t="s">
        <v>550</v>
      </c>
      <c r="B57" s="17" t="s">
        <v>89</v>
      </c>
      <c r="C57" s="25" t="n">
        <f aca="false">C16+C17+C18-C26-C27</f>
        <v>-141.859</v>
      </c>
      <c r="D57" s="25" t="n">
        <f aca="false">D16+D17+D18-D26-D27</f>
        <v>-159.451</v>
      </c>
      <c r="E57" s="25" t="n">
        <f aca="false">E16+E17+E18-E26-E27</f>
        <v>-146.782</v>
      </c>
      <c r="F57" s="25" t="n">
        <f aca="false">F16+F17+F18-F26-F27</f>
        <v>-100.965</v>
      </c>
      <c r="G57" s="25" t="n">
        <f aca="false">G16+G17+G18-G26-G27</f>
        <v>-125.742</v>
      </c>
      <c r="H57" s="43" t="n">
        <f aca="false">H16+H17+H18-H26-H27</f>
        <v>-107.713226876782</v>
      </c>
      <c r="I57" s="43" t="n">
        <f aca="false">I16+I17+I18-I26-I27</f>
        <v>-123.024488449775</v>
      </c>
      <c r="J57" s="43" t="n">
        <f aca="false">J16+J17+J18-J26-J27</f>
        <v>-135.934202198478</v>
      </c>
      <c r="K57" s="43" t="n">
        <f aca="false">K16+K17+K18-K26-K27</f>
        <v>-144.15205469299</v>
      </c>
      <c r="L57" s="43" t="n">
        <f aca="false">L16+L17+L18-L26-L27</f>
        <v>-149.455182067979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12" min="2" style="0" width="11"/>
    <col collapsed="false" customWidth="true" hidden="false" outlineLevel="0" max="13" min="13" style="0" width="70"/>
  </cols>
  <sheetData>
    <row r="1" customFormat="false" ht="15" hidden="false" customHeight="false" outlineLevel="0" collapsed="false">
      <c r="A1" s="16" t="s">
        <v>551</v>
      </c>
    </row>
    <row r="2" customFormat="false" ht="15" hidden="false" customHeight="false" outlineLevel="0" collapsed="false">
      <c r="A2" s="17" t="s">
        <v>552</v>
      </c>
    </row>
    <row r="4" customFormat="false" ht="15" hidden="false" customHeight="false" outlineLevel="0" collapsed="false">
      <c r="A4" s="29" t="s">
        <v>293</v>
      </c>
      <c r="B4" s="30" t="s">
        <v>63</v>
      </c>
      <c r="C4" s="30" t="s">
        <v>115</v>
      </c>
      <c r="D4" s="30" t="s">
        <v>116</v>
      </c>
      <c r="E4" s="30" t="s">
        <v>117</v>
      </c>
      <c r="F4" s="30" t="s">
        <v>118</v>
      </c>
      <c r="G4" s="30" t="s">
        <v>119</v>
      </c>
      <c r="H4" s="30" t="s">
        <v>120</v>
      </c>
      <c r="I4" s="30" t="s">
        <v>121</v>
      </c>
      <c r="J4" s="30" t="s">
        <v>122</v>
      </c>
      <c r="K4" s="30" t="s">
        <v>123</v>
      </c>
      <c r="L4" s="30" t="s">
        <v>124</v>
      </c>
      <c r="M4" s="29" t="s">
        <v>350</v>
      </c>
    </row>
    <row r="5" customFormat="false" ht="15" hidden="false" customHeight="false" outlineLevel="0" collapsed="false">
      <c r="A5" s="19" t="s">
        <v>553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</row>
    <row r="6" customFormat="false" ht="15" hidden="false" customHeight="false" outlineLevel="0" collapsed="false">
      <c r="A6" s="4" t="s">
        <v>155</v>
      </c>
      <c r="B6" s="17" t="s">
        <v>89</v>
      </c>
      <c r="C6" s="10" t="n">
        <f aca="false">'Income Statement'!C9</f>
        <v>3012.447</v>
      </c>
      <c r="D6" s="10" t="n">
        <f aca="false">'Income Statement'!D9</f>
        <v>4112.955</v>
      </c>
      <c r="E6" s="10" t="n">
        <f aca="false">'Income Statement'!E9</f>
        <v>2428.959</v>
      </c>
      <c r="F6" s="10" t="n">
        <f aca="false">'Income Statement'!F9</f>
        <v>3058.059</v>
      </c>
      <c r="G6" s="10" t="n">
        <f aca="false">'Income Statement'!G9</f>
        <v>3411.647</v>
      </c>
      <c r="H6" s="38" t="n">
        <f aca="false">'Income Statement'!H9</f>
        <v>3894.3314491705</v>
      </c>
      <c r="I6" s="38" t="n">
        <f aca="false">'Income Statement'!I9</f>
        <v>3726.74824806612</v>
      </c>
      <c r="J6" s="38" t="n">
        <f aca="false">'Income Statement'!J9</f>
        <v>3739.92145911196</v>
      </c>
      <c r="K6" s="38" t="n">
        <f aca="false">'Income Statement'!K9</f>
        <v>3893.91103380964</v>
      </c>
      <c r="L6" s="38" t="n">
        <f aca="false">'Income Statement'!L9</f>
        <v>4067.85595879273</v>
      </c>
    </row>
    <row r="7" customFormat="false" ht="15" hidden="false" customHeight="false" outlineLevel="0" collapsed="false">
      <c r="A7" s="4" t="s">
        <v>418</v>
      </c>
      <c r="B7" s="17" t="s">
        <v>89</v>
      </c>
      <c r="C7" s="10" t="n">
        <f aca="false">'Income Statement'!C39</f>
        <v>1309.219</v>
      </c>
      <c r="D7" s="10" t="n">
        <f aca="false">'Income Statement'!D39</f>
        <v>2091.484</v>
      </c>
      <c r="E7" s="10" t="n">
        <f aca="false">'Income Statement'!E39</f>
        <v>679.838</v>
      </c>
      <c r="F7" s="10" t="n">
        <f aca="false">'Income Statement'!F39</f>
        <v>1179.754</v>
      </c>
      <c r="G7" s="10" t="n">
        <f aca="false">'Income Statement'!G39</f>
        <v>1376.474</v>
      </c>
      <c r="H7" s="38" t="n">
        <f aca="false">'Income Statement'!H39</f>
        <v>1633.3500862705</v>
      </c>
      <c r="I7" s="38" t="n">
        <f aca="false">'Income Statement'!I39</f>
        <v>1336.42788894087</v>
      </c>
      <c r="J7" s="38" t="n">
        <f aca="false">'Income Statement'!J39</f>
        <v>1218.11698105562</v>
      </c>
      <c r="K7" s="38" t="n">
        <f aca="false">'Income Statement'!K39</f>
        <v>1253.0510072908</v>
      </c>
      <c r="L7" s="38" t="n">
        <f aca="false">'Income Statement'!L39</f>
        <v>1308.97751552673</v>
      </c>
    </row>
    <row r="8" customFormat="false" ht="15" hidden="false" customHeight="false" outlineLevel="0" collapsed="false">
      <c r="A8" s="4" t="s">
        <v>554</v>
      </c>
      <c r="B8" s="17" t="s">
        <v>89</v>
      </c>
      <c r="C8" s="25" t="n">
        <f aca="false">'Income Statement'!C34-'Income Statement'!C29</f>
        <v>1174.704</v>
      </c>
      <c r="D8" s="25" t="n">
        <f aca="false">'Income Statement'!D34-'Income Statement'!D29</f>
        <v>1826.768</v>
      </c>
      <c r="E8" s="25" t="n">
        <f aca="false">'Income Statement'!E34-'Income Statement'!E29</f>
        <v>499.027</v>
      </c>
      <c r="F8" s="25" t="n">
        <f aca="false">'Income Statement'!F34-'Income Statement'!F29</f>
        <v>1006.318</v>
      </c>
      <c r="G8" s="25" t="n">
        <f aca="false">'Income Statement'!G34-'Income Statement'!G29</f>
        <v>1160.702</v>
      </c>
      <c r="H8" s="43" t="n">
        <f aca="false">'Income Statement'!H34-'Income Statement'!H29</f>
        <v>1440.0848062705</v>
      </c>
      <c r="I8" s="43" t="n">
        <f aca="false">'Income Statement'!I34-'Income Statement'!I29</f>
        <v>1151.12076190087</v>
      </c>
      <c r="J8" s="43" t="n">
        <f aca="false">'Income Statement'!J34-'Income Statement'!J29</f>
        <v>1013.14777442778</v>
      </c>
      <c r="K8" s="43" t="n">
        <f aca="false">'Income Statement'!K34-'Income Statement'!K29</f>
        <v>1026.43756266961</v>
      </c>
      <c r="L8" s="43" t="n">
        <f aca="false">'Income Statement'!L34-'Income Statement'!L29</f>
        <v>1082.66594025943</v>
      </c>
    </row>
    <row r="9" customFormat="false" ht="15" hidden="false" customHeight="false" outlineLevel="0" collapsed="false">
      <c r="A9" s="4" t="s">
        <v>555</v>
      </c>
      <c r="B9" s="17" t="s">
        <v>128</v>
      </c>
      <c r="C9" s="11" t="n">
        <f aca="false">'Income Statement'!C48</f>
        <v>0.0147611225442445</v>
      </c>
      <c r="D9" s="11" t="n">
        <f aca="false">'Income Statement'!D48</f>
        <v>0.0117762318288207</v>
      </c>
      <c r="E9" s="11" t="n">
        <f aca="false">'Income Statement'!E48</f>
        <v>0.0311520850574796</v>
      </c>
      <c r="F9" s="11" t="n">
        <f aca="false">'Income Statement'!F48</f>
        <v>0.0182540571426402</v>
      </c>
      <c r="G9" s="11" t="n">
        <f aca="false">'Income Statement'!G48</f>
        <v>0.0166766698447736</v>
      </c>
      <c r="H9" s="41" t="n">
        <f aca="false">Scenarios!H72</f>
        <v>0.017</v>
      </c>
      <c r="I9" s="41" t="n">
        <f aca="false">Scenarios!I72</f>
        <v>0.017</v>
      </c>
      <c r="J9" s="41" t="n">
        <f aca="false">Scenarios!J72</f>
        <v>0.017</v>
      </c>
      <c r="K9" s="41" t="n">
        <f aca="false">Scenarios!K72</f>
        <v>0.017</v>
      </c>
      <c r="L9" s="41" t="n">
        <f aca="false">Scenarios!L72</f>
        <v>0.017</v>
      </c>
    </row>
    <row r="10" customFormat="false" ht="15" hidden="false" customHeight="false" outlineLevel="0" collapsed="false">
      <c r="A10" s="13" t="s">
        <v>556</v>
      </c>
      <c r="B10" s="17" t="s">
        <v>89</v>
      </c>
      <c r="C10" s="46" t="n">
        <f aca="false">C8*(1-C9)</f>
        <v>1157.36405030279</v>
      </c>
      <c r="D10" s="46" t="n">
        <f aca="false">D8*(1-D9)</f>
        <v>1805.25555653453</v>
      </c>
      <c r="E10" s="46" t="n">
        <f aca="false">E8*(1-E9)</f>
        <v>483.481268450021</v>
      </c>
      <c r="F10" s="46" t="n">
        <f aca="false">F8*(1-F9)</f>
        <v>987.948613724333</v>
      </c>
      <c r="G10" s="46" t="n">
        <f aca="false">G8*(1-G9)</f>
        <v>1141.34535595783</v>
      </c>
      <c r="H10" s="47" t="n">
        <f aca="false">H8*(1-H9)</f>
        <v>1415.6033645639</v>
      </c>
      <c r="I10" s="47" t="n">
        <f aca="false">I8*(1-I9)</f>
        <v>1131.55170894856</v>
      </c>
      <c r="J10" s="47" t="n">
        <f aca="false">J8*(1-J9)</f>
        <v>995.924262262506</v>
      </c>
      <c r="K10" s="47" t="n">
        <f aca="false">K8*(1-K9)</f>
        <v>1008.98812410423</v>
      </c>
      <c r="L10" s="47" t="n">
        <f aca="false">L8*(1-L9)</f>
        <v>1064.26061927502</v>
      </c>
    </row>
    <row r="11" customFormat="false" ht="15" hidden="false" customHeight="false" outlineLevel="0" collapsed="false">
      <c r="A11" s="4" t="s">
        <v>557</v>
      </c>
      <c r="B11" s="17" t="s">
        <v>89</v>
      </c>
      <c r="C11" s="10" t="n">
        <f aca="false">'Income Statement'!C38</f>
        <v>131.374</v>
      </c>
      <c r="D11" s="10" t="n">
        <f aca="false">'Income Statement'!D38</f>
        <v>145.644</v>
      </c>
      <c r="E11" s="10" t="n">
        <f aca="false">'Income Statement'!E38</f>
        <v>158.761</v>
      </c>
      <c r="F11" s="10" t="n">
        <f aca="false">'Income Statement'!F38</f>
        <v>163.912</v>
      </c>
      <c r="G11" s="10" t="n">
        <f aca="false">'Income Statement'!G38</f>
        <v>180.245</v>
      </c>
      <c r="H11" s="38" t="n">
        <f aca="false">'Income Statement'!H38</f>
        <v>183.26528</v>
      </c>
      <c r="I11" s="38" t="n">
        <f aca="false">'Income Statement'!I38</f>
        <v>180.30712704</v>
      </c>
      <c r="J11" s="38" t="n">
        <f aca="false">'Income Statement'!J38</f>
        <v>199.96920662784</v>
      </c>
      <c r="K11" s="38" t="n">
        <f aca="false">'Income Statement'!K38</f>
        <v>221.613444621194</v>
      </c>
      <c r="L11" s="38" t="n">
        <f aca="false">'Income Statement'!L38</f>
        <v>221.311575267291</v>
      </c>
    </row>
    <row r="12" customFormat="false" ht="15" hidden="false" customHeight="false" outlineLevel="0" collapsed="false">
      <c r="A12" s="4" t="s">
        <v>558</v>
      </c>
      <c r="B12" s="17" t="s">
        <v>89</v>
      </c>
      <c r="C12" s="10" t="n">
        <f aca="false">'Cash Flow'!C52</f>
        <v>-189.099</v>
      </c>
      <c r="D12" s="10" t="n">
        <f aca="false">'Cash Flow'!D52</f>
        <v>-488.172</v>
      </c>
      <c r="E12" s="10" t="n">
        <f aca="false">'Cash Flow'!E52</f>
        <v>-309.156</v>
      </c>
      <c r="F12" s="10" t="n">
        <f aca="false">'Cash Flow'!F52</f>
        <v>-261.026</v>
      </c>
      <c r="G12" s="10" t="n">
        <f aca="false">'Cash Flow'!G52</f>
        <v>-135.329</v>
      </c>
      <c r="H12" s="38" t="n">
        <f aca="false">'Cash Flow'!H52</f>
        <v>-162</v>
      </c>
      <c r="I12" s="38" t="n">
        <f aca="false">'Cash Flow'!I52</f>
        <v>-390</v>
      </c>
      <c r="J12" s="38" t="n">
        <f aca="false">'Cash Flow'!J52</f>
        <v>-360</v>
      </c>
      <c r="K12" s="38" t="n">
        <f aca="false">'Cash Flow'!K52</f>
        <v>-208.1</v>
      </c>
      <c r="L12" s="38" t="n">
        <f aca="false">'Cash Flow'!L52</f>
        <v>-210</v>
      </c>
    </row>
    <row r="13" customFormat="false" ht="15" hidden="false" customHeight="false" outlineLevel="0" collapsed="false">
      <c r="A13" s="4" t="s">
        <v>559</v>
      </c>
      <c r="B13" s="17" t="s">
        <v>89</v>
      </c>
      <c r="C13" s="10" t="n">
        <f aca="false">'Cash Flow'!C22</f>
        <v>20.978</v>
      </c>
      <c r="D13" s="10" t="n">
        <f aca="false">'Cash Flow'!D22</f>
        <v>241.744</v>
      </c>
      <c r="E13" s="10" t="n">
        <f aca="false">'Cash Flow'!E22</f>
        <v>44.067</v>
      </c>
      <c r="F13" s="10" t="n">
        <f aca="false">'Cash Flow'!F22</f>
        <v>32.374</v>
      </c>
      <c r="G13" s="10" t="n">
        <f aca="false">'Cash Flow'!G22</f>
        <v>70.732</v>
      </c>
      <c r="H13" s="38" t="n">
        <f aca="false">'Cash Flow'!H22</f>
        <v>30</v>
      </c>
      <c r="I13" s="38" t="n">
        <f aca="false">'Cash Flow'!I22</f>
        <v>15</v>
      </c>
      <c r="J13" s="38" t="n">
        <f aca="false">'Cash Flow'!J22</f>
        <v>15</v>
      </c>
      <c r="K13" s="38" t="n">
        <f aca="false">'Cash Flow'!K22</f>
        <v>15</v>
      </c>
      <c r="L13" s="38" t="n">
        <f aca="false">'Cash Flow'!L22</f>
        <v>15</v>
      </c>
    </row>
    <row r="14" customFormat="false" ht="15" hidden="false" customHeight="false" outlineLevel="0" collapsed="false">
      <c r="A14" s="4" t="s">
        <v>560</v>
      </c>
      <c r="B14" s="17" t="s">
        <v>89</v>
      </c>
      <c r="C14" s="10" t="n">
        <f aca="false">'Cash Flow'!C17</f>
        <v>47.299</v>
      </c>
      <c r="D14" s="10" t="n">
        <f aca="false">'Cash Flow'!D17</f>
        <v>20.606</v>
      </c>
      <c r="E14" s="10" t="n">
        <f aca="false">'Cash Flow'!E17</f>
        <v>-9.301</v>
      </c>
      <c r="F14" s="10" t="n">
        <f aca="false">'Cash Flow'!F17</f>
        <v>-31.844</v>
      </c>
      <c r="G14" s="10" t="n">
        <f aca="false">'Cash Flow'!G17</f>
        <v>31.724</v>
      </c>
      <c r="H14" s="43" t="n">
        <f aca="false">SUM('Cash Flow'!H11:H16)</f>
        <v>-16.7863249610983</v>
      </c>
      <c r="I14" s="43" t="n">
        <f aca="false">SUM('Cash Flow'!I11:I16)</f>
        <v>14.3078362357804</v>
      </c>
      <c r="J14" s="43" t="n">
        <f aca="false">SUM('Cash Flow'!J11:J16)</f>
        <v>12.441214411901</v>
      </c>
      <c r="K14" s="43" t="n">
        <f aca="false">SUM('Cash Flow'!K11:K16)</f>
        <v>8.26366038722267</v>
      </c>
      <c r="L14" s="43" t="n">
        <f aca="false">SUM('Cash Flow'!L11:L16)</f>
        <v>5.51805474049723</v>
      </c>
      <c r="M14" s="17" t="s">
        <v>561</v>
      </c>
    </row>
    <row r="15" customFormat="false" ht="15" hidden="false" customHeight="false" outlineLevel="0" collapsed="false">
      <c r="A15" s="4" t="s">
        <v>562</v>
      </c>
      <c r="B15" s="17" t="s">
        <v>89</v>
      </c>
      <c r="C15" s="10" t="n">
        <f aca="false">'Cash Flow'!C30</f>
        <v>-56.129</v>
      </c>
      <c r="D15" s="10" t="n">
        <f aca="false">'Cash Flow'!D30</f>
        <v>-63.028</v>
      </c>
      <c r="E15" s="10" t="n">
        <f aca="false">'Cash Flow'!E30</f>
        <v>-63.728</v>
      </c>
      <c r="F15" s="10" t="n">
        <f aca="false">'Cash Flow'!F30</f>
        <v>-61.237</v>
      </c>
      <c r="G15" s="10" t="n">
        <f aca="false">'Cash Flow'!G30</f>
        <v>-77.909</v>
      </c>
      <c r="H15" s="38" t="n">
        <f aca="false">'Cash Flow'!H30</f>
        <v>-76.7090688</v>
      </c>
      <c r="I15" s="38" t="n">
        <f aca="false">'Cash Flow'!I30</f>
        <v>-77.064164352</v>
      </c>
      <c r="J15" s="38" t="n">
        <f aca="false">'Cash Flow'!J30</f>
        <v>-78.52068983808</v>
      </c>
      <c r="K15" s="38" t="n">
        <f aca="false">'Cash Flow'!K30</f>
        <v>-79.6713449720832</v>
      </c>
      <c r="L15" s="38" t="n">
        <f aca="false">'Cash Flow'!L30</f>
        <v>-80.5803625279457</v>
      </c>
    </row>
    <row r="16" customFormat="false" ht="15" hidden="false" customHeight="false" outlineLevel="0" collapsed="false">
      <c r="A16" s="4" t="s">
        <v>563</v>
      </c>
      <c r="B16" s="17" t="s">
        <v>89</v>
      </c>
      <c r="C16" s="10" t="n">
        <f aca="false">'Income Statement'!C45</f>
        <v>-15.663</v>
      </c>
      <c r="D16" s="10" t="n">
        <f aca="false">'Income Statement'!D45</f>
        <v>-17.492</v>
      </c>
      <c r="E16" s="10" t="n">
        <f aca="false">'Income Statement'!E45</f>
        <v>-18.753</v>
      </c>
      <c r="F16" s="10" t="n">
        <f aca="false">'Income Statement'!F45</f>
        <v>-15.676</v>
      </c>
      <c r="G16" s="10" t="n">
        <f aca="false">'Income Statement'!G45</f>
        <v>-15.55</v>
      </c>
      <c r="H16" s="43" t="n">
        <f aca="false">-Scenarios!H68*'Balance Sheet'!G51</f>
        <v>-13.128201</v>
      </c>
      <c r="I16" s="43" t="n">
        <f aca="false">-Scenarios!I68*'Balance Sheet'!H51</f>
        <v>-12.8397110416</v>
      </c>
      <c r="J16" s="43" t="n">
        <f aca="false">-Scenarios!J68*'Balance Sheet'!I51</f>
        <v>-12.750951974464</v>
      </c>
      <c r="K16" s="43" t="n">
        <f aca="false">-Scenarios!K68*'Balance Sheet'!J51</f>
        <v>-12.5995623114266</v>
      </c>
      <c r="L16" s="43" t="n">
        <f aca="false">-Scenarios!L68*'Balance Sheet'!K51</f>
        <v>-12.398694477627</v>
      </c>
      <c r="M16" s="17" t="s">
        <v>564</v>
      </c>
    </row>
    <row r="17" customFormat="false" ht="15" hidden="false" customHeight="false" outlineLevel="0" collapsed="false">
      <c r="A17" s="13" t="s">
        <v>565</v>
      </c>
      <c r="B17" s="17" t="s">
        <v>89</v>
      </c>
      <c r="C17" s="46" t="n">
        <f aca="false">C10+C11+C12+C13+C14+C15+C16</f>
        <v>1096.12405030279</v>
      </c>
      <c r="D17" s="46" t="n">
        <f aca="false">D10+D11+D12+D13+D14+D15+D16</f>
        <v>1644.55755653453</v>
      </c>
      <c r="E17" s="46" t="n">
        <f aca="false">E10+E11+E12+E13+E14+E15+E16</f>
        <v>285.371268450021</v>
      </c>
      <c r="F17" s="46" t="n">
        <f aca="false">F10+F11+F12+F13+F14+F15+F16</f>
        <v>814.451613724333</v>
      </c>
      <c r="G17" s="46" t="n">
        <f aca="false">G10+G11+G12+G13+G14+G15+G16</f>
        <v>1195.25835595783</v>
      </c>
      <c r="H17" s="47" t="n">
        <f aca="false">H10+H11+H12+H13+H14+H15+H16</f>
        <v>1360.2450498028</v>
      </c>
      <c r="I17" s="47" t="n">
        <f aca="false">I10+I11+I12+I13+I14+I15+I16</f>
        <v>861.262796830739</v>
      </c>
      <c r="J17" s="47" t="n">
        <f aca="false">J10+J11+J12+J13+J14+J15+J16</f>
        <v>772.063041489703</v>
      </c>
      <c r="K17" s="47" t="n">
        <f aca="false">K10+K11+K12+K13+K14+K15+K16</f>
        <v>953.494321829134</v>
      </c>
      <c r="L17" s="47" t="n">
        <f aca="false">L10+L11+L12+L13+L14+L15+L16</f>
        <v>1003.11119227724</v>
      </c>
    </row>
    <row r="18" customFormat="false" ht="15" hidden="false" customHeight="false" outlineLevel="0" collapsed="false">
      <c r="A18" s="4" t="s">
        <v>566</v>
      </c>
      <c r="B18" s="17" t="s">
        <v>128</v>
      </c>
      <c r="C18" s="9" t="n">
        <f aca="false">C17/C6</f>
        <v>0.36386500751807</v>
      </c>
      <c r="D18" s="9" t="n">
        <f aca="false">D17/D6</f>
        <v>0.399848176441154</v>
      </c>
      <c r="E18" s="9" t="n">
        <f aca="false">E17/E6</f>
        <v>0.117487066866926</v>
      </c>
      <c r="F18" s="9" t="n">
        <f aca="false">F17/F6</f>
        <v>0.266329594597205</v>
      </c>
      <c r="G18" s="9" t="n">
        <f aca="false">G17/G6</f>
        <v>0.350346432663705</v>
      </c>
      <c r="H18" s="40" t="n">
        <f aca="false">H17/H6</f>
        <v>0.349288463901176</v>
      </c>
      <c r="I18" s="40" t="n">
        <f aca="false">I17/I6</f>
        <v>0.231103025882594</v>
      </c>
      <c r="J18" s="40" t="n">
        <f aca="false">J17/J6</f>
        <v>0.206438303566147</v>
      </c>
      <c r="K18" s="40" t="n">
        <f aca="false">K17/K6</f>
        <v>0.244868029482501</v>
      </c>
      <c r="L18" s="40" t="n">
        <f aca="false">L17/L6</f>
        <v>0.246594570318794</v>
      </c>
    </row>
    <row r="19" customFormat="false" ht="15" hidden="false" customHeight="false" outlineLevel="0" collapsed="false">
      <c r="A19" s="4" t="s">
        <v>567</v>
      </c>
      <c r="B19" s="17" t="s">
        <v>128</v>
      </c>
      <c r="C19" s="9" t="n">
        <f aca="false">C17/C10</f>
        <v>0.947086657837715</v>
      </c>
      <c r="D19" s="9" t="n">
        <f aca="false">D17/D10</f>
        <v>0.910983240340506</v>
      </c>
      <c r="E19" s="9" t="n">
        <f aca="false">E17/E10</f>
        <v>0.590242656897308</v>
      </c>
      <c r="F19" s="9" t="n">
        <f aca="false">F17/F10</f>
        <v>0.824386615265386</v>
      </c>
      <c r="G19" s="9" t="n">
        <f aca="false">G17/G10</f>
        <v>1.0472363598963</v>
      </c>
      <c r="H19" s="40" t="n">
        <f aca="false">H17/H10</f>
        <v>0.96089419102352</v>
      </c>
      <c r="I19" s="40" t="n">
        <f aca="false">I17/I10</f>
        <v>0.761134281376347</v>
      </c>
      <c r="J19" s="40" t="n">
        <f aca="false">J17/J10</f>
        <v>0.775222645681668</v>
      </c>
      <c r="K19" s="40" t="n">
        <f aca="false">K17/K10</f>
        <v>0.945000539699751</v>
      </c>
      <c r="L19" s="40" t="n">
        <f aca="false">L17/L10</f>
        <v>0.942542807757522</v>
      </c>
    </row>
    <row r="20" customFormat="false" ht="15" hidden="false" customHeight="false" outlineLevel="0" collapsed="false">
      <c r="A20" s="19" t="s">
        <v>568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</row>
    <row r="21" customFormat="false" ht="15" hidden="false" customHeight="false" outlineLevel="0" collapsed="false">
      <c r="A21" s="4" t="s">
        <v>546</v>
      </c>
      <c r="B21" s="17" t="s">
        <v>89</v>
      </c>
      <c r="C21" s="10" t="n">
        <f aca="false">'Balance Sheet'!C53</f>
        <v>624.315</v>
      </c>
      <c r="D21" s="10" t="n">
        <f aca="false">'Balance Sheet'!D53</f>
        <v>725.673</v>
      </c>
      <c r="E21" s="10" t="n">
        <f aca="false">'Balance Sheet'!E53</f>
        <v>262.069</v>
      </c>
      <c r="F21" s="10" t="n">
        <f aca="false">'Balance Sheet'!F53</f>
        <v>578.327</v>
      </c>
      <c r="G21" s="10" t="n">
        <f aca="false">'Balance Sheet'!G53</f>
        <v>929.675</v>
      </c>
      <c r="H21" s="38" t="n">
        <f aca="false">'Balance Sheet'!H53</f>
        <v>917.244807105761</v>
      </c>
      <c r="I21" s="38" t="n">
        <f aca="false">'Balance Sheet'!I53</f>
        <v>948.697156274235</v>
      </c>
      <c r="J21" s="38" t="n">
        <f aca="false">'Balance Sheet'!J53</f>
        <v>911.135120775558</v>
      </c>
      <c r="K21" s="38" t="n">
        <f aca="false">'Balance Sheet'!K53</f>
        <v>1097.5129555791</v>
      </c>
      <c r="L21" s="38" t="n">
        <f aca="false">'Balance Sheet'!L53</f>
        <v>1307.96631050608</v>
      </c>
    </row>
    <row r="22" customFormat="false" ht="15" hidden="false" customHeight="false" outlineLevel="0" collapsed="false">
      <c r="A22" s="4" t="s">
        <v>569</v>
      </c>
      <c r="B22" s="17" t="s">
        <v>89</v>
      </c>
      <c r="C22" s="25" t="n">
        <f aca="false">'Balance Sheet'!C11+'Balance Sheet'!C12</f>
        <v>60.423</v>
      </c>
      <c r="D22" s="25" t="n">
        <f aca="false">'Balance Sheet'!D11+'Balance Sheet'!D12</f>
        <v>67.407</v>
      </c>
      <c r="E22" s="25" t="n">
        <f aca="false">'Balance Sheet'!E11+'Balance Sheet'!E12</f>
        <v>70.569</v>
      </c>
      <c r="F22" s="25" t="n">
        <f aca="false">'Balance Sheet'!F11+'Balance Sheet'!F12</f>
        <v>74.558</v>
      </c>
      <c r="G22" s="25" t="n">
        <f aca="false">'Balance Sheet'!G11+'Balance Sheet'!G12</f>
        <v>79.571</v>
      </c>
      <c r="H22" s="43" t="n">
        <f aca="false">'Balance Sheet'!H11+'Balance Sheet'!H12</f>
        <v>86.47892</v>
      </c>
      <c r="I22" s="43" t="n">
        <f aca="false">'Balance Sheet'!I11+'Balance Sheet'!I12</f>
        <v>93.6031568</v>
      </c>
      <c r="J22" s="43" t="n">
        <f aca="false">'Balance Sheet'!J11+'Balance Sheet'!J12</f>
        <v>100.896120704</v>
      </c>
      <c r="K22" s="43" t="n">
        <f aca="false">'Balance Sheet'!K11+'Balance Sheet'!K12</f>
        <v>108.36287352512</v>
      </c>
      <c r="L22" s="43" t="n">
        <f aca="false">'Balance Sheet'!L11+'Balance Sheet'!L12</f>
        <v>116.008628930874</v>
      </c>
    </row>
    <row r="23" customFormat="false" ht="15" hidden="false" customHeight="false" outlineLevel="0" collapsed="false">
      <c r="A23" s="4" t="s">
        <v>570</v>
      </c>
      <c r="B23" s="17" t="s">
        <v>89</v>
      </c>
      <c r="C23" s="10" t="n">
        <f aca="false">'Balance Sheet'!C45</f>
        <v>13.997</v>
      </c>
      <c r="D23" s="10" t="n">
        <f aca="false">'Balance Sheet'!D45</f>
        <v>14.471</v>
      </c>
      <c r="E23" s="10" t="n">
        <f aca="false">'Balance Sheet'!E45</f>
        <v>16.522</v>
      </c>
      <c r="F23" s="10" t="n">
        <f aca="false">'Balance Sheet'!F45</f>
        <v>17.268</v>
      </c>
      <c r="G23" s="10" t="n">
        <f aca="false">'Balance Sheet'!G45</f>
        <v>22.668</v>
      </c>
      <c r="H23" s="38" t="n">
        <f aca="false">'Balance Sheet'!H45</f>
        <v>28.8893729653316</v>
      </c>
      <c r="I23" s="38" t="n">
        <f aca="false">'Balance Sheet'!I45</f>
        <v>33.8922924461874</v>
      </c>
      <c r="J23" s="38" t="n">
        <f aca="false">'Balance Sheet'!J45</f>
        <v>38.3263159382437</v>
      </c>
      <c r="K23" s="38" t="n">
        <f aca="false">'Balance Sheet'!K45</f>
        <v>42.81596368496</v>
      </c>
      <c r="L23" s="38" t="n">
        <f aca="false">'Balance Sheet'!L45</f>
        <v>47.5665964673349</v>
      </c>
    </row>
    <row r="24" customFormat="false" ht="15" hidden="false" customHeight="false" outlineLevel="0" collapsed="false">
      <c r="A24" s="4" t="s">
        <v>571</v>
      </c>
      <c r="B24" s="17" t="s">
        <v>89</v>
      </c>
      <c r="C24" s="10" t="n">
        <f aca="false">'Cash Flow'!C23</f>
        <v>2.986</v>
      </c>
      <c r="D24" s="10" t="n">
        <f aca="false">'Cash Flow'!D23</f>
        <v>12.239</v>
      </c>
      <c r="E24" s="10" t="n">
        <f aca="false">'Cash Flow'!E23</f>
        <v>15.246</v>
      </c>
      <c r="F24" s="10" t="n">
        <f aca="false">'Cash Flow'!F23</f>
        <v>17.316</v>
      </c>
      <c r="G24" s="10" t="n">
        <f aca="false">'Cash Flow'!G23</f>
        <v>27.603</v>
      </c>
      <c r="H24" s="38" t="n">
        <f aca="false">'Cash Flow'!H23</f>
        <v>30.64488</v>
      </c>
      <c r="I24" s="38" t="n">
        <f aca="false">'Cash Flow'!I23</f>
        <v>31.8706752</v>
      </c>
      <c r="J24" s="38" t="n">
        <f aca="false">'Cash Flow'!J23</f>
        <v>32.826795456</v>
      </c>
      <c r="K24" s="38" t="n">
        <f aca="false">'Cash Flow'!K23</f>
        <v>33.81159931968</v>
      </c>
      <c r="L24" s="38" t="n">
        <f aca="false">'Cash Flow'!L23</f>
        <v>34.8259472992704</v>
      </c>
    </row>
    <row r="25" customFormat="false" ht="15" hidden="false" customHeight="false" outlineLevel="0" collapsed="false">
      <c r="A25" s="19" t="s">
        <v>572</v>
      </c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</row>
    <row r="26" customFormat="false" ht="15" hidden="false" customHeight="false" outlineLevel="0" collapsed="false">
      <c r="A26" s="4" t="s">
        <v>573</v>
      </c>
      <c r="B26" s="17" t="s">
        <v>105</v>
      </c>
      <c r="C26" s="10" t="n">
        <f aca="false">'Revenue Model'!C15</f>
        <v>826.9</v>
      </c>
      <c r="D26" s="10" t="n">
        <f aca="false">'Revenue Model'!D15</f>
        <v>1099.6</v>
      </c>
      <c r="E26" s="10" t="n">
        <f aca="false">'Revenue Model'!E15</f>
        <v>623.3</v>
      </c>
      <c r="F26" s="10" t="n">
        <f aca="false">'Revenue Model'!F15</f>
        <v>721.1</v>
      </c>
      <c r="G26" s="10" t="n">
        <f aca="false">'Revenue Model'!G15</f>
        <v>753.3</v>
      </c>
      <c r="H26" s="38" t="n">
        <f aca="false">'Revenue Model'!H15</f>
        <v>831.278914813007</v>
      </c>
      <c r="I26" s="38" t="n">
        <f aca="false">'Revenue Model'!I15</f>
        <v>748.151023331706</v>
      </c>
      <c r="J26" s="38" t="n">
        <f aca="false">'Revenue Model'!J15</f>
        <v>710.743472165121</v>
      </c>
      <c r="K26" s="38" t="n">
        <f aca="false">'Revenue Model'!K15</f>
        <v>710.743472165121</v>
      </c>
      <c r="L26" s="38" t="n">
        <f aca="false">'Revenue Model'!L15</f>
        <v>717.850906886772</v>
      </c>
    </row>
    <row r="27" customFormat="false" ht="15" hidden="false" customHeight="false" outlineLevel="0" collapsed="false">
      <c r="A27" s="4" t="s">
        <v>574</v>
      </c>
      <c r="B27" s="17" t="s">
        <v>101</v>
      </c>
      <c r="C27" s="10" t="n">
        <f aca="false">'Revenue Model'!C12</f>
        <v>3142.118</v>
      </c>
      <c r="D27" s="10" t="n">
        <f aca="false">'Revenue Model'!D12</f>
        <v>3261.939</v>
      </c>
      <c r="E27" s="10" t="n">
        <f aca="false">'Revenue Model'!E12</f>
        <v>3224.498</v>
      </c>
      <c r="F27" s="10" t="n">
        <f aca="false">'Revenue Model'!F12</f>
        <v>3570.184</v>
      </c>
      <c r="G27" s="10" t="n">
        <f aca="false">'Revenue Model'!G12</f>
        <v>3847.539</v>
      </c>
      <c r="H27" s="38" t="n">
        <f aca="false">'Revenue Model'!H12</f>
        <v>4053.7198</v>
      </c>
      <c r="I27" s="38" t="n">
        <f aca="false">'Revenue Model'!I12</f>
        <v>4256.40579</v>
      </c>
      <c r="J27" s="38" t="n">
        <f aca="false">'Revenue Model'!J12</f>
        <v>4469.2260795</v>
      </c>
      <c r="K27" s="38" t="n">
        <f aca="false">'Revenue Model'!K12</f>
        <v>4647.99512268</v>
      </c>
      <c r="L27" s="38" t="n">
        <f aca="false">'Revenue Model'!L12</f>
        <v>4810.6749519738</v>
      </c>
    </row>
    <row r="28" customFormat="false" ht="15" hidden="false" customHeight="false" outlineLevel="0" collapsed="false">
      <c r="A28" s="4" t="s">
        <v>575</v>
      </c>
      <c r="B28" s="17" t="s">
        <v>105</v>
      </c>
      <c r="C28" s="25" t="n">
        <f aca="false">C8/C27*1000</f>
        <v>373.857379003589</v>
      </c>
      <c r="D28" s="25" t="n">
        <f aca="false">D8/D27*1000</f>
        <v>560.02518747285</v>
      </c>
      <c r="E28" s="25" t="n">
        <f aca="false">E8/E27*1000</f>
        <v>154.761144215317</v>
      </c>
      <c r="F28" s="25" t="n">
        <f aca="false">F8/F27*1000</f>
        <v>281.867265104544</v>
      </c>
      <c r="G28" s="25" t="n">
        <f aca="false">G8/G27*1000</f>
        <v>301.673875170596</v>
      </c>
      <c r="H28" s="43" t="n">
        <f aca="false">H8/H27*1000</f>
        <v>355.250209022957</v>
      </c>
      <c r="I28" s="43" t="n">
        <f aca="false">I8/I27*1000</f>
        <v>270.444318209818</v>
      </c>
      <c r="J28" s="43" t="n">
        <f aca="false">J8/J27*1000</f>
        <v>226.694232156885</v>
      </c>
      <c r="K28" s="43" t="n">
        <f aca="false">K8/K27*1000</f>
        <v>220.834474989245</v>
      </c>
      <c r="L28" s="43" t="n">
        <f aca="false">L8/L27*1000</f>
        <v>225.054893766044</v>
      </c>
    </row>
    <row r="29" customFormat="false" ht="15" hidden="false" customHeight="false" outlineLevel="0" collapsed="false">
      <c r="A29" s="4" t="s">
        <v>576</v>
      </c>
      <c r="B29" s="17" t="s">
        <v>105</v>
      </c>
      <c r="C29" s="25" t="n">
        <f aca="false">C17/C27*1000</f>
        <v>348.848786169961</v>
      </c>
      <c r="D29" s="25" t="n">
        <f aca="false">D17/D27*1000</f>
        <v>504.165637841336</v>
      </c>
      <c r="E29" s="25" t="n">
        <f aca="false">E17/E27*1000</f>
        <v>88.5009909914725</v>
      </c>
      <c r="F29" s="25" t="n">
        <f aca="false">F17/F27*1000</f>
        <v>228.125949173581</v>
      </c>
      <c r="G29" s="25" t="n">
        <f aca="false">G17/G27*1000</f>
        <v>310.65529315176</v>
      </c>
      <c r="H29" s="43" t="n">
        <f aca="false">H17/H27*1000</f>
        <v>335.55477855248</v>
      </c>
      <c r="I29" s="43" t="n">
        <f aca="false">I17/I27*1000</f>
        <v>202.345086282466</v>
      </c>
      <c r="J29" s="43" t="n">
        <f aca="false">J17/J27*1000</f>
        <v>172.750947872406</v>
      </c>
      <c r="K29" s="43" t="n">
        <f aca="false">K17/K27*1000</f>
        <v>205.140990182312</v>
      </c>
      <c r="L29" s="43" t="n">
        <f aca="false">L17/L27*1000</f>
        <v>208.517765654831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6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9"/>
    <col collapsed="false" customWidth="true" hidden="false" outlineLevel="0" max="3" min="3" style="0" width="13"/>
    <col collapsed="false" customWidth="true" hidden="false" outlineLevel="0" max="7" min="4" style="0" width="12"/>
    <col collapsed="false" customWidth="true" hidden="false" outlineLevel="0" max="8" min="8" style="0" width="80"/>
  </cols>
  <sheetData>
    <row r="1" customFormat="false" ht="15" hidden="false" customHeight="false" outlineLevel="0" collapsed="false">
      <c r="A1" s="16" t="s">
        <v>577</v>
      </c>
    </row>
    <row r="2" customFormat="false" ht="15" hidden="false" customHeight="false" outlineLevel="0" collapsed="false">
      <c r="A2" s="17" t="s">
        <v>578</v>
      </c>
    </row>
    <row r="5" customFormat="false" ht="15" hidden="false" customHeight="false" outlineLevel="0" collapsed="false">
      <c r="A5" s="19" t="s">
        <v>579</v>
      </c>
      <c r="B5" s="20"/>
      <c r="C5" s="20"/>
      <c r="D5" s="20"/>
      <c r="E5" s="20"/>
      <c r="F5" s="20"/>
      <c r="G5" s="20"/>
      <c r="H5" s="20"/>
    </row>
    <row r="6" customFormat="false" ht="15" hidden="false" customHeight="false" outlineLevel="0" collapsed="false">
      <c r="A6" s="4" t="s">
        <v>580</v>
      </c>
      <c r="B6" s="17" t="s">
        <v>128</v>
      </c>
      <c r="C6" s="35" t="n">
        <v>0.05</v>
      </c>
      <c r="H6" s="17" t="s">
        <v>581</v>
      </c>
    </row>
    <row r="7" customFormat="false" ht="15" hidden="false" customHeight="false" outlineLevel="0" collapsed="false">
      <c r="A7" s="4" t="s">
        <v>582</v>
      </c>
      <c r="B7" s="17" t="s">
        <v>217</v>
      </c>
      <c r="C7" s="36" t="n">
        <v>1.03</v>
      </c>
      <c r="H7" s="17" t="s">
        <v>583</v>
      </c>
    </row>
    <row r="8" customFormat="false" ht="15" hidden="false" customHeight="false" outlineLevel="0" collapsed="false">
      <c r="A8" s="4" t="s">
        <v>584</v>
      </c>
      <c r="B8" s="17" t="s">
        <v>217</v>
      </c>
      <c r="C8" s="36" t="n">
        <v>0.67</v>
      </c>
      <c r="H8" s="17" t="s">
        <v>585</v>
      </c>
    </row>
    <row r="9" customFormat="false" ht="15" hidden="false" customHeight="false" outlineLevel="0" collapsed="false">
      <c r="A9" s="4" t="s">
        <v>586</v>
      </c>
      <c r="B9" s="17" t="s">
        <v>217</v>
      </c>
      <c r="C9" s="67" t="n">
        <f aca="false">$C$8*$C$7+(1-$C$8)</f>
        <v>1.0201</v>
      </c>
      <c r="H9" s="17"/>
    </row>
    <row r="10" customFormat="false" ht="15" hidden="false" customHeight="false" outlineLevel="0" collapsed="false">
      <c r="A10" s="4" t="s">
        <v>587</v>
      </c>
      <c r="B10" s="17" t="s">
        <v>128</v>
      </c>
      <c r="C10" s="35" t="n">
        <v>0.05</v>
      </c>
      <c r="H10" s="17" t="s">
        <v>588</v>
      </c>
    </row>
    <row r="11" customFormat="false" ht="15" hidden="false" customHeight="false" outlineLevel="0" collapsed="false">
      <c r="A11" s="4" t="s">
        <v>589</v>
      </c>
      <c r="B11" s="17" t="s">
        <v>128</v>
      </c>
      <c r="C11" s="68" t="n">
        <f aca="false">$C$6+$C$9*$C$10</f>
        <v>0.101005</v>
      </c>
      <c r="H11" s="17" t="s">
        <v>590</v>
      </c>
    </row>
    <row r="12" customFormat="false" ht="15" hidden="false" customHeight="false" outlineLevel="0" collapsed="false">
      <c r="A12" s="4" t="s">
        <v>591</v>
      </c>
      <c r="B12" s="17" t="s">
        <v>128</v>
      </c>
      <c r="C12" s="69" t="n">
        <f aca="false">Scenarios!H68</f>
        <v>0.043</v>
      </c>
      <c r="H12" s="17"/>
    </row>
    <row r="13" customFormat="false" ht="15" hidden="false" customHeight="false" outlineLevel="0" collapsed="false">
      <c r="A13" s="4" t="s">
        <v>555</v>
      </c>
      <c r="B13" s="17" t="s">
        <v>128</v>
      </c>
      <c r="C13" s="69" t="n">
        <f aca="false">Scenarios!H72</f>
        <v>0.017</v>
      </c>
      <c r="H13" s="17"/>
    </row>
    <row r="14" customFormat="false" ht="15" hidden="false" customHeight="false" outlineLevel="0" collapsed="false">
      <c r="A14" s="4" t="s">
        <v>592</v>
      </c>
      <c r="B14" s="17" t="s">
        <v>128</v>
      </c>
      <c r="C14" s="31" t="n">
        <v>0</v>
      </c>
      <c r="H14" s="17" t="s">
        <v>593</v>
      </c>
    </row>
    <row r="15" customFormat="false" ht="15" hidden="false" customHeight="false" outlineLevel="0" collapsed="false">
      <c r="A15" s="4" t="s">
        <v>594</v>
      </c>
      <c r="B15" s="17" t="s">
        <v>128</v>
      </c>
      <c r="C15" s="70" t="n">
        <f aca="false">$C$11*(1-$C$14)+$C$12*(1-$C$13)*$C$14</f>
        <v>0.101005</v>
      </c>
      <c r="H15" s="17"/>
    </row>
    <row r="16" customFormat="false" ht="15" hidden="false" customHeight="false" outlineLevel="0" collapsed="false">
      <c r="A16" s="4" t="s">
        <v>595</v>
      </c>
      <c r="B16" s="17" t="s">
        <v>128</v>
      </c>
      <c r="C16" s="71" t="n">
        <v>0.02</v>
      </c>
      <c r="H16" s="17" t="s">
        <v>596</v>
      </c>
    </row>
    <row r="17" customFormat="false" ht="15" hidden="false" customHeight="false" outlineLevel="0" collapsed="false">
      <c r="A17" s="4" t="s">
        <v>597</v>
      </c>
      <c r="B17" s="17"/>
      <c r="C17" s="14" t="s">
        <v>598</v>
      </c>
      <c r="H17" s="17" t="s">
        <v>599</v>
      </c>
    </row>
    <row r="19" customFormat="false" ht="15" hidden="false" customHeight="false" outlineLevel="0" collapsed="false">
      <c r="A19" s="19" t="s">
        <v>600</v>
      </c>
      <c r="B19" s="20"/>
      <c r="C19" s="20"/>
      <c r="D19" s="45" t="s">
        <v>121</v>
      </c>
      <c r="E19" s="45" t="s">
        <v>122</v>
      </c>
      <c r="F19" s="45" t="s">
        <v>123</v>
      </c>
      <c r="G19" s="45" t="s">
        <v>124</v>
      </c>
      <c r="H19" s="20"/>
    </row>
    <row r="20" customFormat="false" ht="15" hidden="false" customHeight="false" outlineLevel="0" collapsed="false">
      <c r="A20" s="4" t="s">
        <v>601</v>
      </c>
      <c r="B20" s="17"/>
      <c r="D20" s="14" t="n">
        <v>1</v>
      </c>
      <c r="E20" s="4" t="n">
        <f aca="false">D20+1</f>
        <v>2</v>
      </c>
      <c r="F20" s="4" t="n">
        <f aca="false">E20+1</f>
        <v>3</v>
      </c>
      <c r="G20" s="4" t="n">
        <f aca="false">F20+1</f>
        <v>4</v>
      </c>
    </row>
    <row r="21" customFormat="false" ht="15" hidden="false" customHeight="false" outlineLevel="0" collapsed="false">
      <c r="A21" s="4" t="s">
        <v>155</v>
      </c>
      <c r="B21" s="17" t="s">
        <v>89</v>
      </c>
      <c r="D21" s="10" t="n">
        <f aca="false">'DCF Inputs'!I6</f>
        <v>3726.74824806612</v>
      </c>
      <c r="E21" s="10" t="n">
        <f aca="false">'DCF Inputs'!J6</f>
        <v>3739.92145911196</v>
      </c>
      <c r="F21" s="10" t="n">
        <f aca="false">'DCF Inputs'!K6</f>
        <v>3893.91103380964</v>
      </c>
      <c r="G21" s="10" t="n">
        <f aca="false">'DCF Inputs'!L6</f>
        <v>4067.85595879273</v>
      </c>
    </row>
    <row r="22" customFormat="false" ht="15" hidden="false" customHeight="false" outlineLevel="0" collapsed="false">
      <c r="A22" s="4" t="s">
        <v>602</v>
      </c>
      <c r="B22" s="17" t="s">
        <v>89</v>
      </c>
      <c r="D22" s="25" t="n">
        <f aca="false">'DCF Inputs'!I8+'DCF Inputs'!I11</f>
        <v>1331.42788894087</v>
      </c>
      <c r="E22" s="25" t="n">
        <f aca="false">'DCF Inputs'!J8+'DCF Inputs'!J11</f>
        <v>1213.11698105562</v>
      </c>
      <c r="F22" s="25" t="n">
        <f aca="false">'DCF Inputs'!K8+'DCF Inputs'!K11</f>
        <v>1248.0510072908</v>
      </c>
      <c r="G22" s="25" t="n">
        <f aca="false">'DCF Inputs'!L8+'DCF Inputs'!L11</f>
        <v>1303.97751552673</v>
      </c>
      <c r="H22" s="17" t="s">
        <v>603</v>
      </c>
    </row>
    <row r="23" customFormat="false" ht="15" hidden="false" customHeight="false" outlineLevel="0" collapsed="false">
      <c r="A23" s="4" t="s">
        <v>417</v>
      </c>
      <c r="B23" s="17" t="s">
        <v>89</v>
      </c>
      <c r="D23" s="10" t="n">
        <f aca="false">'DCF Inputs'!I11</f>
        <v>180.30712704</v>
      </c>
      <c r="E23" s="10" t="n">
        <f aca="false">'DCF Inputs'!J11</f>
        <v>199.96920662784</v>
      </c>
      <c r="F23" s="10" t="n">
        <f aca="false">'DCF Inputs'!K11</f>
        <v>221.613444621194</v>
      </c>
      <c r="G23" s="10" t="n">
        <f aca="false">'DCF Inputs'!L11</f>
        <v>221.311575267291</v>
      </c>
    </row>
    <row r="24" customFormat="false" ht="15" hidden="false" customHeight="false" outlineLevel="0" collapsed="false">
      <c r="A24" s="4" t="s">
        <v>554</v>
      </c>
      <c r="B24" s="17" t="s">
        <v>89</v>
      </c>
      <c r="D24" s="25" t="n">
        <f aca="false">D22-D23</f>
        <v>1151.12076190087</v>
      </c>
      <c r="E24" s="25" t="n">
        <f aca="false">E22-E23</f>
        <v>1013.14777442778</v>
      </c>
      <c r="F24" s="25" t="n">
        <f aca="false">F22-F23</f>
        <v>1026.43756266961</v>
      </c>
      <c r="G24" s="25" t="n">
        <f aca="false">G22-G23</f>
        <v>1082.66594025943</v>
      </c>
    </row>
    <row r="25" customFormat="false" ht="15" hidden="false" customHeight="false" outlineLevel="0" collapsed="false">
      <c r="A25" s="4" t="s">
        <v>555</v>
      </c>
      <c r="B25" s="17" t="s">
        <v>128</v>
      </c>
      <c r="D25" s="11" t="n">
        <f aca="false">'DCF Inputs'!I9</f>
        <v>0.017</v>
      </c>
      <c r="E25" s="11" t="n">
        <f aca="false">'DCF Inputs'!J9</f>
        <v>0.017</v>
      </c>
      <c r="F25" s="11" t="n">
        <f aca="false">'DCF Inputs'!K9</f>
        <v>0.017</v>
      </c>
      <c r="G25" s="11" t="n">
        <f aca="false">'DCF Inputs'!L9</f>
        <v>0.017</v>
      </c>
    </row>
    <row r="26" customFormat="false" ht="15" hidden="false" customHeight="false" outlineLevel="0" collapsed="false">
      <c r="A26" s="4" t="s">
        <v>556</v>
      </c>
      <c r="B26" s="17" t="s">
        <v>89</v>
      </c>
      <c r="D26" s="25" t="n">
        <f aca="false">D24*(1-D25)</f>
        <v>1131.55170894856</v>
      </c>
      <c r="E26" s="25" t="n">
        <f aca="false">E24*(1-E25)</f>
        <v>995.924262262506</v>
      </c>
      <c r="F26" s="25" t="n">
        <f aca="false">F24*(1-F25)</f>
        <v>1008.98812410423</v>
      </c>
      <c r="G26" s="25" t="n">
        <f aca="false">G24*(1-G25)</f>
        <v>1064.26061927502</v>
      </c>
    </row>
    <row r="27" customFormat="false" ht="15" hidden="false" customHeight="false" outlineLevel="0" collapsed="false">
      <c r="A27" s="4" t="s">
        <v>604</v>
      </c>
      <c r="B27" s="17" t="s">
        <v>89</v>
      </c>
      <c r="D27" s="25" t="n">
        <f aca="false">'DCF Inputs'!I12+'DCF Inputs'!I13</f>
        <v>-375</v>
      </c>
      <c r="E27" s="25" t="n">
        <f aca="false">'DCF Inputs'!J12+'DCF Inputs'!J13</f>
        <v>-345</v>
      </c>
      <c r="F27" s="25" t="n">
        <f aca="false">'DCF Inputs'!K12+'DCF Inputs'!K13</f>
        <v>-193.1</v>
      </c>
      <c r="G27" s="25" t="n">
        <f aca="false">'DCF Inputs'!L12+'DCF Inputs'!L13</f>
        <v>-195</v>
      </c>
    </row>
    <row r="28" customFormat="false" ht="15" hidden="false" customHeight="false" outlineLevel="0" collapsed="false">
      <c r="A28" s="4" t="s">
        <v>605</v>
      </c>
      <c r="B28" s="17" t="s">
        <v>89</v>
      </c>
      <c r="D28" s="10" t="n">
        <f aca="false">'DCF Inputs'!I14</f>
        <v>14.3078362357804</v>
      </c>
      <c r="E28" s="10" t="n">
        <f aca="false">'DCF Inputs'!J14</f>
        <v>12.441214411901</v>
      </c>
      <c r="F28" s="10" t="n">
        <f aca="false">'DCF Inputs'!K14</f>
        <v>8.26366038722267</v>
      </c>
      <c r="G28" s="10" t="n">
        <f aca="false">'DCF Inputs'!L14</f>
        <v>5.51805474049723</v>
      </c>
    </row>
    <row r="29" customFormat="false" ht="15" hidden="false" customHeight="false" outlineLevel="0" collapsed="false">
      <c r="A29" s="4" t="s">
        <v>606</v>
      </c>
      <c r="B29" s="17" t="s">
        <v>89</v>
      </c>
      <c r="D29" s="25" t="n">
        <f aca="false">'DCF Inputs'!I15+'DCF Inputs'!I16</f>
        <v>-89.9038753936</v>
      </c>
      <c r="E29" s="25" t="n">
        <f aca="false">'DCF Inputs'!J15+'DCF Inputs'!J16</f>
        <v>-91.271641812544</v>
      </c>
      <c r="F29" s="25" t="n">
        <f aca="false">'DCF Inputs'!K15+'DCF Inputs'!K16</f>
        <v>-92.2709072835098</v>
      </c>
      <c r="G29" s="25" t="n">
        <f aca="false">'DCF Inputs'!L15+'DCF Inputs'!L16</f>
        <v>-92.9790570055727</v>
      </c>
    </row>
    <row r="30" customFormat="false" ht="15" hidden="false" customHeight="false" outlineLevel="0" collapsed="false">
      <c r="A30" s="4" t="s">
        <v>607</v>
      </c>
      <c r="B30" s="17" t="s">
        <v>89</v>
      </c>
      <c r="D30" s="25" t="n">
        <f aca="false">D27+D28+D29</f>
        <v>-450.59603915782</v>
      </c>
      <c r="E30" s="25" t="n">
        <f aca="false">E27+E28+E29</f>
        <v>-423.830427400643</v>
      </c>
      <c r="F30" s="25" t="n">
        <f aca="false">F27+F28+F29</f>
        <v>-277.107246896287</v>
      </c>
      <c r="G30" s="25" t="n">
        <f aca="false">G27+G28+G29</f>
        <v>-282.461002265076</v>
      </c>
    </row>
    <row r="31" customFormat="false" ht="15" hidden="false" customHeight="false" outlineLevel="0" collapsed="false">
      <c r="A31" s="13" t="s">
        <v>600</v>
      </c>
      <c r="B31" s="17" t="s">
        <v>89</v>
      </c>
      <c r="D31" s="46" t="n">
        <f aca="false">D26+D23+D30</f>
        <v>861.262796830739</v>
      </c>
      <c r="E31" s="46" t="n">
        <f aca="false">E26+E23+E30</f>
        <v>772.063041489703</v>
      </c>
      <c r="F31" s="46" t="n">
        <f aca="false">F26+F23+F30</f>
        <v>953.494321829134</v>
      </c>
      <c r="G31" s="46" t="n">
        <f aca="false">G26+G23+G30</f>
        <v>1003.11119227724</v>
      </c>
      <c r="H31" s="17" t="s">
        <v>608</v>
      </c>
    </row>
    <row r="32" customFormat="false" ht="15" hidden="false" customHeight="false" outlineLevel="0" collapsed="false">
      <c r="A32" s="4" t="s">
        <v>609</v>
      </c>
      <c r="B32" s="17" t="s">
        <v>217</v>
      </c>
      <c r="D32" s="61" t="n">
        <f aca="false">1/(1+$C$15)^(D20-0.5)</f>
        <v>0.953027328429026</v>
      </c>
      <c r="E32" s="61" t="n">
        <f aca="false">1/(1+$C$15)^(E20-0.5)</f>
        <v>0.865597638910837</v>
      </c>
      <c r="F32" s="61" t="n">
        <f aca="false">1/(1+$C$15)^(F20-0.5)</f>
        <v>0.786188653921496</v>
      </c>
      <c r="G32" s="61" t="n">
        <f aca="false">1/(1+$C$15)^(G20-0.5)</f>
        <v>0.71406456275993</v>
      </c>
    </row>
    <row r="33" customFormat="false" ht="15" hidden="false" customHeight="false" outlineLevel="0" collapsed="false">
      <c r="A33" s="13" t="s">
        <v>610</v>
      </c>
      <c r="B33" s="17" t="s">
        <v>89</v>
      </c>
      <c r="D33" s="72" t="n">
        <f aca="false">D31*D32</f>
        <v>820.80698233891</v>
      </c>
      <c r="E33" s="72" t="n">
        <f aca="false">E31*E32</f>
        <v>668.295945803806</v>
      </c>
      <c r="F33" s="72" t="n">
        <f aca="false">F31*F32</f>
        <v>749.626417400637</v>
      </c>
      <c r="G33" s="72" t="n">
        <f aca="false">G31*G32</f>
        <v>716.286154913039</v>
      </c>
    </row>
    <row r="35" customFormat="false" ht="15" hidden="false" customHeight="false" outlineLevel="0" collapsed="false">
      <c r="A35" s="19" t="s">
        <v>611</v>
      </c>
      <c r="B35" s="20"/>
      <c r="C35" s="20"/>
      <c r="D35" s="20"/>
      <c r="E35" s="20"/>
      <c r="F35" s="20"/>
      <c r="G35" s="20"/>
      <c r="H35" s="20"/>
    </row>
    <row r="36" customFormat="false" ht="15" hidden="false" customHeight="false" outlineLevel="0" collapsed="false">
      <c r="A36" s="4" t="s">
        <v>612</v>
      </c>
      <c r="B36" s="17" t="s">
        <v>89</v>
      </c>
      <c r="C36" s="25" t="n">
        <f aca="false">G31</f>
        <v>1003.11119227724</v>
      </c>
      <c r="H36" s="17" t="s">
        <v>613</v>
      </c>
    </row>
    <row r="37" customFormat="false" ht="15" hidden="false" customHeight="false" outlineLevel="0" collapsed="false">
      <c r="A37" s="4" t="s">
        <v>614</v>
      </c>
      <c r="B37" s="17" t="s">
        <v>89</v>
      </c>
      <c r="C37" s="25" t="n">
        <f aca="false">$C$36*(1+$C$16)/($C$15-$C$16)</f>
        <v>12630.9908786221</v>
      </c>
    </row>
    <row r="38" customFormat="false" ht="15" hidden="false" customHeight="false" outlineLevel="0" collapsed="false">
      <c r="A38" s="4" t="s">
        <v>615</v>
      </c>
      <c r="B38" s="17" t="s">
        <v>217</v>
      </c>
      <c r="C38" s="61" t="n">
        <f aca="false">1/(1+$C$15)^G20</f>
        <v>0.680523042572937</v>
      </c>
    </row>
    <row r="39" customFormat="false" ht="15" hidden="false" customHeight="false" outlineLevel="0" collapsed="false">
      <c r="A39" s="4" t="s">
        <v>616</v>
      </c>
      <c r="B39" s="17" t="s">
        <v>89</v>
      </c>
      <c r="C39" s="25" t="n">
        <f aca="false">$C$37*$C$38</f>
        <v>8595.68034343093</v>
      </c>
    </row>
    <row r="40" customFormat="false" ht="15" hidden="false" customHeight="false" outlineLevel="0" collapsed="false">
      <c r="A40" s="4" t="s">
        <v>617</v>
      </c>
      <c r="B40" s="17" t="s">
        <v>217</v>
      </c>
      <c r="C40" s="8" t="n">
        <f aca="false">$C$37/G22</f>
        <v>9.68650971985509</v>
      </c>
    </row>
    <row r="42" customFormat="false" ht="15" hidden="false" customHeight="false" outlineLevel="0" collapsed="false">
      <c r="A42" s="19" t="s">
        <v>618</v>
      </c>
      <c r="B42" s="20"/>
      <c r="C42" s="20"/>
      <c r="D42" s="20"/>
      <c r="E42" s="20"/>
      <c r="F42" s="20"/>
      <c r="G42" s="20"/>
      <c r="H42" s="20"/>
    </row>
    <row r="43" customFormat="false" ht="15" hidden="false" customHeight="false" outlineLevel="0" collapsed="false">
      <c r="A43" s="4" t="s">
        <v>619</v>
      </c>
      <c r="B43" s="17" t="s">
        <v>89</v>
      </c>
      <c r="C43" s="25" t="n">
        <f aca="false">SUM(D33:G33)</f>
        <v>2955.01550045639</v>
      </c>
    </row>
    <row r="44" customFormat="false" ht="15" hidden="false" customHeight="false" outlineLevel="0" collapsed="false">
      <c r="A44" s="4" t="s">
        <v>620</v>
      </c>
      <c r="B44" s="17" t="s">
        <v>89</v>
      </c>
      <c r="C44" s="25" t="n">
        <f aca="false">$C$39</f>
        <v>8595.68034343093</v>
      </c>
    </row>
    <row r="45" customFormat="false" ht="15" hidden="false" customHeight="false" outlineLevel="0" collapsed="false">
      <c r="A45" s="13" t="s">
        <v>621</v>
      </c>
      <c r="B45" s="17" t="s">
        <v>89</v>
      </c>
      <c r="C45" s="72" t="n">
        <f aca="false">$C$43+$C$44</f>
        <v>11550.6958438873</v>
      </c>
    </row>
    <row r="46" customFormat="false" ht="15" hidden="false" customHeight="false" outlineLevel="0" collapsed="false">
      <c r="A46" s="4" t="s">
        <v>622</v>
      </c>
      <c r="B46" s="17" t="s">
        <v>128</v>
      </c>
      <c r="C46" s="9" t="n">
        <f aca="false">$C$44/$C$45</f>
        <v>0.744169914921602</v>
      </c>
    </row>
    <row r="47" customFormat="false" ht="15" hidden="false" customHeight="false" outlineLevel="0" collapsed="false">
      <c r="A47" s="4" t="s">
        <v>623</v>
      </c>
      <c r="B47" s="17" t="s">
        <v>89</v>
      </c>
      <c r="C47" s="10" t="n">
        <f aca="false">'Balance Sheet'!H53</f>
        <v>917.244807105761</v>
      </c>
      <c r="H47" s="17" t="s">
        <v>624</v>
      </c>
    </row>
    <row r="48" customFormat="false" ht="15" hidden="false" customHeight="false" outlineLevel="0" collapsed="false">
      <c r="A48" s="4" t="s">
        <v>625</v>
      </c>
      <c r="B48" s="17" t="s">
        <v>89</v>
      </c>
      <c r="C48" s="10" t="n">
        <f aca="false">'DCF Inputs'!H22</f>
        <v>86.47892</v>
      </c>
    </row>
    <row r="49" customFormat="false" ht="15" hidden="false" customHeight="false" outlineLevel="0" collapsed="false">
      <c r="A49" s="4" t="s">
        <v>626</v>
      </c>
      <c r="B49" s="17" t="s">
        <v>89</v>
      </c>
      <c r="C49" s="25" t="n">
        <f aca="false">-'DCF Inputs'!H23</f>
        <v>-28.8893729653316</v>
      </c>
    </row>
    <row r="50" customFormat="false" ht="15" hidden="false" customHeight="false" outlineLevel="0" collapsed="false">
      <c r="A50" s="13" t="s">
        <v>627</v>
      </c>
      <c r="B50" s="17" t="s">
        <v>89</v>
      </c>
      <c r="C50" s="72" t="n">
        <f aca="false">$C$45+$C$47+$C$48+$C$49</f>
        <v>12525.5301980277</v>
      </c>
    </row>
    <row r="51" customFormat="false" ht="15" hidden="false" customHeight="false" outlineLevel="0" collapsed="false">
      <c r="A51" s="4" t="s">
        <v>628</v>
      </c>
      <c r="B51" s="17" t="s">
        <v>81</v>
      </c>
      <c r="C51" s="10" t="n">
        <f aca="false">Inputs!$C$14</f>
        <v>2711.528233</v>
      </c>
    </row>
    <row r="52" customFormat="false" ht="15" hidden="false" customHeight="false" outlineLevel="0" collapsed="false">
      <c r="A52" s="4" t="s">
        <v>629</v>
      </c>
      <c r="B52" s="17" t="s">
        <v>434</v>
      </c>
      <c r="C52" s="61" t="n">
        <f aca="false">$C$50/$C$51</f>
        <v>4.61936189547607</v>
      </c>
    </row>
    <row r="53" customFormat="false" ht="15" hidden="false" customHeight="false" outlineLevel="0" collapsed="false">
      <c r="A53" s="13" t="s">
        <v>630</v>
      </c>
      <c r="B53" s="17" t="s">
        <v>68</v>
      </c>
      <c r="C53" s="73" t="n">
        <f aca="false">$C$52*Inputs!$C$7</f>
        <v>36.2218024309965</v>
      </c>
      <c r="H53" s="17" t="s">
        <v>631</v>
      </c>
    </row>
    <row r="54" customFormat="false" ht="15" hidden="false" customHeight="false" outlineLevel="0" collapsed="false">
      <c r="A54" s="4" t="s">
        <v>632</v>
      </c>
      <c r="B54" s="17" t="s">
        <v>128</v>
      </c>
      <c r="C54" s="9" t="n">
        <f aca="false">$C$53/Inputs!$C$6-1</f>
        <v>-0.240314546329772</v>
      </c>
    </row>
    <row r="55" customFormat="false" ht="15" hidden="false" customHeight="false" outlineLevel="0" collapsed="false">
      <c r="A55" s="4" t="s">
        <v>633</v>
      </c>
      <c r="B55" s="17" t="s">
        <v>217</v>
      </c>
      <c r="C55" s="8" t="n">
        <f aca="false">$C$53/'Income Statement'!I59</f>
        <v>10.5884215606191</v>
      </c>
    </row>
    <row r="56" customFormat="false" ht="15" hidden="false" customHeight="false" outlineLevel="0" collapsed="false">
      <c r="A56" s="4" t="s">
        <v>634</v>
      </c>
      <c r="B56" s="17" t="s">
        <v>217</v>
      </c>
      <c r="C56" s="8" t="n">
        <f aca="false">$C$45/'Income Statement'!I39</f>
        <v>8.64296228735642</v>
      </c>
    </row>
    <row r="58" customFormat="false" ht="15" hidden="false" customHeight="false" outlineLevel="0" collapsed="false">
      <c r="A58" s="19" t="s">
        <v>635</v>
      </c>
      <c r="B58" s="20"/>
      <c r="C58" s="20"/>
      <c r="D58" s="20"/>
      <c r="E58" s="20"/>
      <c r="F58" s="20"/>
      <c r="G58" s="20"/>
      <c r="H58" s="20"/>
    </row>
    <row r="59" customFormat="false" ht="15" hidden="false" customHeight="false" outlineLevel="0" collapsed="false">
      <c r="A59" s="4" t="s">
        <v>636</v>
      </c>
      <c r="B59" s="17" t="s">
        <v>68</v>
      </c>
      <c r="C59" s="27" t="n">
        <f aca="false">Inputs!$C$6-Inputs!$C$19</f>
        <v>46.68</v>
      </c>
      <c r="H59" s="17" t="s">
        <v>637</v>
      </c>
    </row>
    <row r="60" customFormat="false" ht="15" hidden="false" customHeight="false" outlineLevel="0" collapsed="false">
      <c r="A60" s="4" t="s">
        <v>638</v>
      </c>
      <c r="B60" s="17" t="s">
        <v>89</v>
      </c>
      <c r="C60" s="25" t="n">
        <f aca="false">$C$59*$C$51/Inputs!$C$7</f>
        <v>16141.9838440616</v>
      </c>
    </row>
    <row r="61" customFormat="false" ht="15" hidden="false" customHeight="false" outlineLevel="0" collapsed="false">
      <c r="A61" s="4" t="s">
        <v>639</v>
      </c>
      <c r="B61" s="17" t="s">
        <v>89</v>
      </c>
      <c r="C61" s="25" t="n">
        <f aca="false">$C$60-$C$47-$C$48-$C$49</f>
        <v>15167.1494899211</v>
      </c>
    </row>
    <row r="62" customFormat="false" ht="15" hidden="false" customHeight="false" outlineLevel="0" collapsed="false">
      <c r="A62" s="4" t="s">
        <v>640</v>
      </c>
      <c r="B62" s="17" t="s">
        <v>89</v>
      </c>
      <c r="C62" s="25" t="n">
        <f aca="false">$C$61-$C$43</f>
        <v>12212.1339894648</v>
      </c>
    </row>
    <row r="63" customFormat="false" ht="15" hidden="false" customHeight="false" outlineLevel="0" collapsed="false">
      <c r="A63" s="13" t="s">
        <v>641</v>
      </c>
      <c r="B63" s="17" t="s">
        <v>89</v>
      </c>
      <c r="C63" s="72" t="n">
        <f aca="false">$C$62/$C$38*($C$15-$C$16)/(1+$C$16)</f>
        <v>1425.14935374293</v>
      </c>
      <c r="H63" s="17" t="s">
        <v>642</v>
      </c>
    </row>
    <row r="64" customFormat="false" ht="15" hidden="false" customHeight="false" outlineLevel="0" collapsed="false">
      <c r="A64" s="13" t="s">
        <v>643</v>
      </c>
      <c r="B64" s="17" t="s">
        <v>128</v>
      </c>
      <c r="C64" s="74" t="n">
        <f aca="false">$C$63/$C$36-1</f>
        <v>0.420729192052567</v>
      </c>
    </row>
    <row r="65" customFormat="false" ht="15" hidden="false" customHeight="false" outlineLevel="0" collapsed="false">
      <c r="A65" s="4" t="s">
        <v>644</v>
      </c>
      <c r="B65" s="17" t="s">
        <v>105</v>
      </c>
      <c r="C65" s="25" t="n">
        <f aca="false">$C$63/'DCF Inputs'!L27*1000</f>
        <v>296.247276727395</v>
      </c>
    </row>
    <row r="66" customFormat="false" ht="15" hidden="false" customHeight="false" outlineLevel="0" collapsed="false">
      <c r="A66" s="4" t="s">
        <v>645</v>
      </c>
      <c r="B66" s="17" t="s">
        <v>105</v>
      </c>
      <c r="C66" s="10" t="n">
        <f aca="false">'DCF Inputs'!L29</f>
        <v>208.517765654831</v>
      </c>
      <c r="H66" s="17" t="s">
        <v>646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9" min="2" style="0" width="12"/>
  </cols>
  <sheetData>
    <row r="1" customFormat="false" ht="15" hidden="false" customHeight="false" outlineLevel="0" collapsed="false">
      <c r="A1" s="16" t="s">
        <v>647</v>
      </c>
    </row>
    <row r="2" customFormat="false" ht="15" hidden="false" customHeight="false" outlineLevel="0" collapsed="false">
      <c r="A2" s="17" t="s">
        <v>648</v>
      </c>
    </row>
    <row r="5" customFormat="false" ht="15" hidden="false" customHeight="false" outlineLevel="0" collapsed="false">
      <c r="A5" s="3" t="s">
        <v>649</v>
      </c>
    </row>
    <row r="6" customFormat="false" ht="15" hidden="false" customHeight="false" outlineLevel="0" collapsed="false">
      <c r="A6" s="18" t="s">
        <v>650</v>
      </c>
      <c r="B6" s="75" t="n">
        <f aca="false">DCF!$C$16+(-0.01)</f>
        <v>0.01</v>
      </c>
      <c r="C6" s="75" t="n">
        <f aca="false">DCF!$C$16+(-0.005)</f>
        <v>0.015</v>
      </c>
      <c r="D6" s="75" t="n">
        <f aca="false">DCF!$C$16+(0)</f>
        <v>0.02</v>
      </c>
      <c r="E6" s="75" t="n">
        <f aca="false">DCF!$C$16+(0.005)</f>
        <v>0.025</v>
      </c>
      <c r="F6" s="75" t="n">
        <f aca="false">DCF!$C$16+(0.01)</f>
        <v>0.03</v>
      </c>
    </row>
    <row r="7" customFormat="false" ht="15" hidden="false" customHeight="false" outlineLevel="0" collapsed="false">
      <c r="A7" s="76" t="n">
        <f aca="false">DCF!$C$15+(-0.02)</f>
        <v>0.081005</v>
      </c>
      <c r="B7" s="27" t="n">
        <f aca="false">(SUMPRODUCT(DCF!$D$31:$G$31/(1+$A7)^(DCF!$D$20:$G$20-0.5))+DCF!$G$31*(1+B$6)/($A7-B$6)/(1+$A7)^DCF!$G$20+(DCF!$C$47+DCF!$C$48+DCF!$C$49))/DCF!$C$51*Inputs!$C$7</f>
        <v>41.8956860700127</v>
      </c>
      <c r="C7" s="27" t="n">
        <f aca="false">(SUMPRODUCT(DCF!$D$31:$G$31/(1+$A7)^(DCF!$D$20:$G$20-0.5))+DCF!$G$31*(1+C$6)/($A7-C$6)/(1+$A7)^DCF!$G$20+(DCF!$C$47+DCF!$C$48+DCF!$C$49))/DCF!$C$51*Inputs!$C$7</f>
        <v>44.3455623015001</v>
      </c>
      <c r="D7" s="27" t="n">
        <f aca="false">(SUMPRODUCT(DCF!$D$31:$G$31/(1+$A7)^(DCF!$D$20:$G$20-0.5))+DCF!$G$31*(1+D$6)/($A7-D$6)/(1+$A7)^DCF!$G$20+(DCF!$C$47+DCF!$C$48+DCF!$C$49))/DCF!$C$51*Inputs!$C$7</f>
        <v>47.1970246704332</v>
      </c>
      <c r="E7" s="27" t="n">
        <f aca="false">(SUMPRODUCT(DCF!$D$31:$G$31/(1+$A7)^(DCF!$D$20:$G$20-0.5))+DCF!$G$31*(1+E$6)/($A7-E$6)/(1+$A7)^DCF!$G$20+(DCF!$C$47+DCF!$C$48+DCF!$C$49))/DCF!$C$51*Inputs!$C$7</f>
        <v>50.5576312887964</v>
      </c>
      <c r="F7" s="27" t="n">
        <f aca="false">(SUMPRODUCT(DCF!$D$31:$G$31/(1+$A7)^(DCF!$D$20:$G$20-0.5))+DCF!$G$31*(1+F$6)/($A7-F$6)/(1+$A7)^DCF!$G$20+(DCF!$C$47+DCF!$C$48+DCF!$C$49))/DCF!$C$51*Inputs!$C$7</f>
        <v>54.577115785478</v>
      </c>
    </row>
    <row r="8" customFormat="false" ht="15" hidden="false" customHeight="false" outlineLevel="0" collapsed="false">
      <c r="A8" s="76" t="n">
        <f aca="false">DCF!$C$15+(-0.015)</f>
        <v>0.086005</v>
      </c>
      <c r="B8" s="27" t="n">
        <f aca="false">(SUMPRODUCT(DCF!$D$31:$G$31/(1+$A8)^(DCF!$D$20:$G$20-0.5))+DCF!$G$31*(1+B$6)/($A8-B$6)/(1+$A8)^DCF!$G$20+(DCF!$C$47+DCF!$C$48+DCF!$C$49))/DCF!$C$51*Inputs!$C$7</f>
        <v>39.3109610410714</v>
      </c>
      <c r="C8" s="27" t="n">
        <f aca="false">(SUMPRODUCT(DCF!$D$31:$G$31/(1+$A8)^(DCF!$D$20:$G$20-0.5))+DCF!$G$31*(1+C$6)/($A8-C$6)/(1+$A8)^DCF!$G$20+(DCF!$C$47+DCF!$C$48+DCF!$C$49))/DCF!$C$51*Inputs!$C$7</f>
        <v>41.4092555789943</v>
      </c>
      <c r="D8" s="27" t="n">
        <f aca="false">(SUMPRODUCT(DCF!$D$31:$G$31/(1+$A8)^(DCF!$D$20:$G$20-0.5))+DCF!$G$31*(1+D$6)/($A8-D$6)/(1+$A8)^DCF!$G$20+(DCF!$C$47+DCF!$C$48+DCF!$C$49))/DCF!$C$51*Inputs!$C$7</f>
        <v>43.8254494484713</v>
      </c>
      <c r="E8" s="27" t="n">
        <f aca="false">(SUMPRODUCT(DCF!$D$31:$G$31/(1+$A8)^(DCF!$D$20:$G$20-0.5))+DCF!$G$31*(1+E$6)/($A8-E$6)/(1+$A8)^DCF!$G$20+(DCF!$C$47+DCF!$C$48+DCF!$C$49))/DCF!$C$51*Inputs!$C$7</f>
        <v>46.637708209265</v>
      </c>
      <c r="F8" s="27" t="n">
        <f aca="false">(SUMPRODUCT(DCF!$D$31:$G$31/(1+$A8)^(DCF!$D$20:$G$20-0.5))+DCF!$G$31*(1+F$6)/($A8-F$6)/(1+$A8)^DCF!$G$20+(DCF!$C$47+DCF!$C$48+DCF!$C$49))/DCF!$C$51*Inputs!$C$7</f>
        <v>49.9521112001798</v>
      </c>
    </row>
    <row r="9" customFormat="false" ht="15" hidden="false" customHeight="false" outlineLevel="0" collapsed="false">
      <c r="A9" s="76" t="n">
        <f aca="false">DCF!$C$15+(-0.01)</f>
        <v>0.091005</v>
      </c>
      <c r="B9" s="27" t="n">
        <f aca="false">(SUMPRODUCT(DCF!$D$31:$G$31/(1+$A9)^(DCF!$D$20:$G$20-0.5))+DCF!$G$31*(1+B$6)/($A9-B$6)/(1+$A9)^DCF!$G$20+(DCF!$C$47+DCF!$C$48+DCF!$C$49))/DCF!$C$51*Inputs!$C$7</f>
        <v>37.0477237143583</v>
      </c>
      <c r="C9" s="27" t="n">
        <f aca="false">(SUMPRODUCT(DCF!$D$31:$G$31/(1+$A9)^(DCF!$D$20:$G$20-0.5))+DCF!$G$31*(1+C$6)/($A9-C$6)/(1+$A9)^DCF!$G$20+(DCF!$C$47+DCF!$C$48+DCF!$C$49))/DCF!$C$51*Inputs!$C$7</f>
        <v>38.8618136211527</v>
      </c>
      <c r="D9" s="27" t="n">
        <f aca="false">(SUMPRODUCT(DCF!$D$31:$G$31/(1+$A9)^(DCF!$D$20:$G$20-0.5))+DCF!$G$31*(1+D$6)/($A9-D$6)/(1+$A9)^DCF!$G$20+(DCF!$C$47+DCF!$C$48+DCF!$C$49))/DCF!$C$51*Inputs!$C$7</f>
        <v>40.9313911565358</v>
      </c>
      <c r="E9" s="27" t="n">
        <f aca="false">(SUMPRODUCT(DCF!$D$31:$G$31/(1+$A9)^(DCF!$D$20:$G$20-0.5))+DCF!$G$31*(1+E$6)/($A9-E$6)/(1+$A9)^DCF!$G$20+(DCF!$C$47+DCF!$C$48+DCF!$C$49))/DCF!$C$51*Inputs!$C$7</f>
        <v>43.314517292083</v>
      </c>
      <c r="F9" s="27" t="n">
        <f aca="false">(SUMPRODUCT(DCF!$D$31:$G$31/(1+$A9)^(DCF!$D$20:$G$20-0.5))+DCF!$G$31*(1+F$6)/($A9-F$6)/(1+$A9)^DCF!$G$20+(DCF!$C$47+DCF!$C$48+DCF!$C$49))/DCF!$C$51*Inputs!$C$7</f>
        <v>46.0882878232613</v>
      </c>
    </row>
    <row r="10" customFormat="false" ht="15" hidden="false" customHeight="false" outlineLevel="0" collapsed="false">
      <c r="A10" s="76" t="n">
        <f aca="false">DCF!$C$15+(-0.005)</f>
        <v>0.096005</v>
      </c>
      <c r="B10" s="27" t="n">
        <f aca="false">(SUMPRODUCT(DCF!$D$31:$G$31/(1+$A10)^(DCF!$D$20:$G$20-0.5))+DCF!$G$31*(1+B$6)/($A10-B$6)/(1+$A10)^DCF!$G$20+(DCF!$C$47+DCF!$C$48+DCF!$C$49))/DCF!$C$51*Inputs!$C$7</f>
        <v>35.0498251960656</v>
      </c>
      <c r="C10" s="27" t="n">
        <f aca="false">(SUMPRODUCT(DCF!$D$31:$G$31/(1+$A10)^(DCF!$D$20:$G$20-0.5))+DCF!$G$31*(1+C$6)/($A10-C$6)/(1+$A10)^DCF!$G$20+(DCF!$C$47+DCF!$C$48+DCF!$C$49))/DCF!$C$51*Inputs!$C$7</f>
        <v>36.631145643742</v>
      </c>
      <c r="D10" s="27" t="n">
        <f aca="false">(SUMPRODUCT(DCF!$D$31:$G$31/(1+$A10)^(DCF!$D$20:$G$20-0.5))+DCF!$G$31*(1+D$6)/($A10-D$6)/(1+$A10)^DCF!$G$20+(DCF!$C$47+DCF!$C$48+DCF!$C$49))/DCF!$C$51*Inputs!$C$7</f>
        <v>38.4205208835605</v>
      </c>
      <c r="E10" s="27" t="n">
        <f aca="false">(SUMPRODUCT(DCF!$D$31:$G$31/(1+$A10)^(DCF!$D$20:$G$20-0.5))+DCF!$G$31*(1+E$6)/($A10-E$6)/(1+$A10)^DCF!$G$20+(DCF!$C$47+DCF!$C$48+DCF!$C$49))/DCF!$C$51*Inputs!$C$7</f>
        <v>40.4619030580764</v>
      </c>
      <c r="F10" s="27" t="n">
        <f aca="false">(SUMPRODUCT(DCF!$D$31:$G$31/(1+$A10)^(DCF!$D$20:$G$20-0.5))+DCF!$G$31*(1+F$6)/($A10-F$6)/(1+$A10)^DCF!$G$20+(DCF!$C$47+DCF!$C$48+DCF!$C$49))/DCF!$C$51*Inputs!$C$7</f>
        <v>42.8125621319962</v>
      </c>
    </row>
    <row r="11" customFormat="false" ht="15" hidden="false" customHeight="false" outlineLevel="0" collapsed="false">
      <c r="A11" s="76" t="n">
        <f aca="false">DCF!$C$15+(0)</f>
        <v>0.101005</v>
      </c>
      <c r="B11" s="27" t="n">
        <f aca="false">(SUMPRODUCT(DCF!$D$31:$G$31/(1+$A11)^(DCF!$D$20:$G$20-0.5))+DCF!$G$31*(1+B$6)/($A11-B$6)/(1+$A11)^DCF!$G$20+(DCF!$C$47+DCF!$C$48+DCF!$C$49))/DCF!$C$51*Inputs!$C$7</f>
        <v>33.2734590598904</v>
      </c>
      <c r="C11" s="27" t="n">
        <f aca="false">(SUMPRODUCT(DCF!$D$31:$G$31/(1+$A11)^(DCF!$D$20:$G$20-0.5))+DCF!$G$31*(1+C$6)/($A11-C$6)/(1+$A11)^DCF!$G$20+(DCF!$C$47+DCF!$C$48+DCF!$C$49))/DCF!$C$51*Inputs!$C$7</f>
        <v>34.6619280720202</v>
      </c>
      <c r="D11" s="77" t="n">
        <f aca="false">(SUMPRODUCT(DCF!$D$31:$G$31/(1+$A11)^(DCF!$D$20:$G$20-0.5))+DCF!$G$31*(1+D$6)/($A11-D$6)/(1+$A11)^DCF!$G$20+(DCF!$C$47+DCF!$C$48+DCF!$C$49))/DCF!$C$51*Inputs!$C$7</f>
        <v>36.2218024309965</v>
      </c>
      <c r="E11" s="27" t="n">
        <f aca="false">(SUMPRODUCT(DCF!$D$31:$G$31/(1+$A11)^(DCF!$D$20:$G$20-0.5))+DCF!$G$31*(1+E$6)/($A11-E$6)/(1+$A11)^DCF!$G$20+(DCF!$C$47+DCF!$C$48+DCF!$C$49))/DCF!$C$51*Inputs!$C$7</f>
        <v>37.9869099139746</v>
      </c>
      <c r="F11" s="27" t="n">
        <f aca="false">(SUMPRODUCT(DCF!$D$31:$G$31/(1+$A11)^(DCF!$D$20:$G$20-0.5))+DCF!$G$31*(1+F$6)/($A11-F$6)/(1+$A11)^DCF!$G$20+(DCF!$C$47+DCF!$C$48+DCF!$C$49))/DCF!$C$51*Inputs!$C$7</f>
        <v>40.0006065784158</v>
      </c>
    </row>
    <row r="12" customFormat="false" ht="15" hidden="false" customHeight="false" outlineLevel="0" collapsed="false">
      <c r="A12" s="76" t="n">
        <f aca="false">DCF!$C$15+(0.005)</f>
        <v>0.106005</v>
      </c>
      <c r="B12" s="27" t="n">
        <f aca="false">(SUMPRODUCT(DCF!$D$31:$G$31/(1+$A12)^(DCF!$D$20:$G$20-0.5))+DCF!$G$31*(1+B$6)/($A12-B$6)/(1+$A12)^DCF!$G$20+(DCF!$C$47+DCF!$C$48+DCF!$C$49))/DCF!$C$51*Inputs!$C$7</f>
        <v>31.6839472265072</v>
      </c>
      <c r="C12" s="27" t="n">
        <f aca="false">(SUMPRODUCT(DCF!$D$31:$G$31/(1+$A12)^(DCF!$D$20:$G$20-0.5))+DCF!$G$31*(1+C$6)/($A12-C$6)/(1+$A12)^DCF!$G$20+(DCF!$C$47+DCF!$C$48+DCF!$C$49))/DCF!$C$51*Inputs!$C$7</f>
        <v>32.9109983081167</v>
      </c>
      <c r="D12" s="27" t="n">
        <f aca="false">(SUMPRODUCT(DCF!$D$31:$G$31/(1+$A12)^(DCF!$D$20:$G$20-0.5))+DCF!$G$31*(1+D$6)/($A12-D$6)/(1+$A12)^DCF!$G$20+(DCF!$C$47+DCF!$C$48+DCF!$C$49))/DCF!$C$51*Inputs!$C$7</f>
        <v>34.2807214531656</v>
      </c>
      <c r="E12" s="27" t="n">
        <f aca="false">(SUMPRODUCT(DCF!$D$31:$G$31/(1+$A12)^(DCF!$D$20:$G$20-0.5))+DCF!$G$31*(1+E$6)/($A12-E$6)/(1+$A12)^DCF!$G$20+(DCF!$C$47+DCF!$C$48+DCF!$C$49))/DCF!$C$51*Inputs!$C$7</f>
        <v>35.8195357833325</v>
      </c>
      <c r="F12" s="27" t="n">
        <f aca="false">(SUMPRODUCT(DCF!$D$31:$G$31/(1+$A12)^(DCF!$D$20:$G$20-0.5))+DCF!$G$31*(1+F$6)/($A12-F$6)/(1+$A12)^DCF!$G$20+(DCF!$C$47+DCF!$C$48+DCF!$C$49))/DCF!$C$51*Inputs!$C$7</f>
        <v>37.5608123633734</v>
      </c>
    </row>
    <row r="13" customFormat="false" ht="15" hidden="false" customHeight="false" outlineLevel="0" collapsed="false">
      <c r="A13" s="76" t="n">
        <f aca="false">DCF!$C$15+(0.01)</f>
        <v>0.111005</v>
      </c>
      <c r="B13" s="27" t="n">
        <f aca="false">(SUMPRODUCT(DCF!$D$31:$G$31/(1+$A13)^(DCF!$D$20:$G$20-0.5))+DCF!$G$31*(1+B$6)/($A13-B$6)/(1+$A13)^DCF!$G$20+(DCF!$C$47+DCF!$C$48+DCF!$C$49))/DCF!$C$51*Inputs!$C$7</f>
        <v>30.2534804893615</v>
      </c>
      <c r="C13" s="27" t="n">
        <f aca="false">(SUMPRODUCT(DCF!$D$31:$G$31/(1+$A13)^(DCF!$D$20:$G$20-0.5))+DCF!$G$31*(1+C$6)/($A13-C$6)/(1+$A13)^DCF!$G$20+(DCF!$C$47+DCF!$C$48+DCF!$C$49))/DCF!$C$51*Inputs!$C$7</f>
        <v>31.3441878756874</v>
      </c>
      <c r="D13" s="27" t="n">
        <f aca="false">(SUMPRODUCT(DCF!$D$31:$G$31/(1+$A13)^(DCF!$D$20:$G$20-0.5))+DCF!$G$31*(1+D$6)/($A13-D$6)/(1+$A13)^DCF!$G$20+(DCF!$C$47+DCF!$C$48+DCF!$C$49))/DCF!$C$51*Inputs!$C$7</f>
        <v>32.5547466313145</v>
      </c>
      <c r="E13" s="27" t="n">
        <f aca="false">(SUMPRODUCT(DCF!$D$31:$G$31/(1+$A13)^(DCF!$D$20:$G$20-0.5))+DCF!$G$31*(1+E$6)/($A13-E$6)/(1+$A13)^DCF!$G$20+(DCF!$C$47+DCF!$C$48+DCF!$C$49))/DCF!$C$51*Inputs!$C$7</f>
        <v>33.9060598495458</v>
      </c>
      <c r="F13" s="27" t="n">
        <f aca="false">(SUMPRODUCT(DCF!$D$31:$G$31/(1+$A13)^(DCF!$D$20:$G$20-0.5))+DCF!$G$31*(1+F$6)/($A13-F$6)/(1+$A13)^DCF!$G$20+(DCF!$C$47+DCF!$C$48+DCF!$C$49))/DCF!$C$51*Inputs!$C$7</f>
        <v>35.4241915627133</v>
      </c>
    </row>
    <row r="14" customFormat="false" ht="15" hidden="false" customHeight="false" outlineLevel="0" collapsed="false">
      <c r="A14" s="76" t="n">
        <f aca="false">DCF!$C$15+(0.015)</f>
        <v>0.116005</v>
      </c>
      <c r="B14" s="27" t="n">
        <f aca="false">(SUMPRODUCT(DCF!$D$31:$G$31/(1+$A14)^(DCF!$D$20:$G$20-0.5))+DCF!$G$31*(1+B$6)/($A14-B$6)/(1+$A14)^DCF!$G$20+(DCF!$C$47+DCF!$C$48+DCF!$C$49))/DCF!$C$51*Inputs!$C$7</f>
        <v>28.9594984880484</v>
      </c>
      <c r="C14" s="27" t="n">
        <f aca="false">(SUMPRODUCT(DCF!$D$31:$G$31/(1+$A14)^(DCF!$D$20:$G$20-0.5))+DCF!$G$31*(1+C$6)/($A14-C$6)/(1+$A14)^DCF!$G$20+(DCF!$C$47+DCF!$C$48+DCF!$C$49))/DCF!$C$51*Inputs!$C$7</f>
        <v>29.934096172224</v>
      </c>
      <c r="D14" s="27" t="n">
        <f aca="false">(SUMPRODUCT(DCF!$D$31:$G$31/(1+$A14)^(DCF!$D$20:$G$20-0.5))+DCF!$G$31*(1+D$6)/($A14-D$6)/(1+$A14)^DCF!$G$20+(DCF!$C$47+DCF!$C$48+DCF!$C$49))/DCF!$C$51*Inputs!$C$7</f>
        <v>31.0102091612457</v>
      </c>
      <c r="E14" s="27" t="n">
        <f aca="false">(SUMPRODUCT(DCF!$D$31:$G$31/(1+$A14)^(DCF!$D$20:$G$20-0.5))+DCF!$G$31*(1+E$6)/($A14-E$6)/(1+$A14)^DCF!$G$20+(DCF!$C$47+DCF!$C$48+DCF!$C$49))/DCF!$C$51*Inputs!$C$7</f>
        <v>32.2045698277601</v>
      </c>
      <c r="F14" s="27" t="n">
        <f aca="false">(SUMPRODUCT(DCF!$D$31:$G$31/(1+$A14)^(DCF!$D$20:$G$20-0.5))+DCF!$G$31*(1+F$6)/($A14-F$6)/(1+$A14)^DCF!$G$20+(DCF!$C$47+DCF!$C$48+DCF!$C$49))/DCF!$C$51*Inputs!$C$7</f>
        <v>33.5378015676439</v>
      </c>
    </row>
    <row r="15" customFormat="false" ht="15" hidden="false" customHeight="false" outlineLevel="0" collapsed="false">
      <c r="A15" s="76" t="n">
        <f aca="false">DCF!$C$15+(0.02)</f>
        <v>0.121005</v>
      </c>
      <c r="B15" s="27" t="n">
        <f aca="false">(SUMPRODUCT(DCF!$D$31:$G$31/(1+$A15)^(DCF!$D$20:$G$20-0.5))+DCF!$G$31*(1+B$6)/($A15-B$6)/(1+$A15)^DCF!$G$20+(DCF!$C$47+DCF!$C$48+DCF!$C$49))/DCF!$C$51*Inputs!$C$7</f>
        <v>27.7835075105636</v>
      </c>
      <c r="C15" s="27" t="n">
        <f aca="false">(SUMPRODUCT(DCF!$D$31:$G$31/(1+$A15)^(DCF!$D$20:$G$20-0.5))+DCF!$G$31*(1+C$6)/($A15-C$6)/(1+$A15)^DCF!$G$20+(DCF!$C$47+DCF!$C$48+DCF!$C$49))/DCF!$C$51*Inputs!$C$7</f>
        <v>28.658494265483</v>
      </c>
      <c r="D15" s="27" t="n">
        <f aca="false">(SUMPRODUCT(DCF!$D$31:$G$31/(1+$A15)^(DCF!$D$20:$G$20-0.5))+DCF!$G$31*(1+D$6)/($A15-D$6)/(1+$A15)^DCF!$G$20+(DCF!$C$47+DCF!$C$48+DCF!$C$49))/DCF!$C$51*Inputs!$C$7</f>
        <v>29.6201090838566</v>
      </c>
      <c r="E15" s="27" t="n">
        <f aca="false">(SUMPRODUCT(DCF!$D$31:$G$31/(1+$A15)^(DCF!$D$20:$G$20-0.5))+DCF!$G$31*(1+E$6)/($A15-E$6)/(1+$A15)^DCF!$G$20+(DCF!$C$47+DCF!$C$48+DCF!$C$49))/DCF!$C$51*Inputs!$C$7</f>
        <v>30.6818868956549</v>
      </c>
      <c r="F15" s="27" t="n">
        <f aca="false">(SUMPRODUCT(DCF!$D$31:$G$31/(1+$A15)^(DCF!$D$20:$G$20-0.5))+DCF!$G$31*(1+F$6)/($A15-F$6)/(1+$A15)^DCF!$G$20+(DCF!$C$47+DCF!$C$48+DCF!$C$49))/DCF!$C$51*Inputs!$C$7</f>
        <v>31.8603371772953</v>
      </c>
    </row>
    <row r="16" customFormat="false" ht="15" hidden="false" customHeight="false" outlineLevel="0" collapsed="false">
      <c r="A16" s="17" t="s">
        <v>651</v>
      </c>
    </row>
    <row r="19" customFormat="false" ht="15" hidden="false" customHeight="false" outlineLevel="0" collapsed="false">
      <c r="A19" s="3" t="s">
        <v>652</v>
      </c>
    </row>
    <row r="20" customFormat="false" ht="15" hidden="false" customHeight="false" outlineLevel="0" collapsed="false">
      <c r="A20" s="18" t="s">
        <v>653</v>
      </c>
      <c r="B20" s="75" t="n">
        <f aca="false">(DCF!$G$22/DCF!$G$21)+(-0.08)</f>
        <v>0.240556462356579</v>
      </c>
      <c r="C20" s="75" t="n">
        <f aca="false">(DCF!$G$22/DCF!$G$21)+(-0.04)</f>
        <v>0.280556462356579</v>
      </c>
      <c r="D20" s="75" t="n">
        <f aca="false">(DCF!$G$22/DCF!$G$21)+(0)</f>
        <v>0.320556462356579</v>
      </c>
      <c r="E20" s="75" t="n">
        <f aca="false">(DCF!$G$22/DCF!$G$21)+(0.04)</f>
        <v>0.360556462356579</v>
      </c>
      <c r="F20" s="75" t="n">
        <f aca="false">(DCF!$G$22/DCF!$G$21)+(0.08)</f>
        <v>0.400556462356579</v>
      </c>
    </row>
    <row r="21" customFormat="false" ht="15" hidden="false" customHeight="false" outlineLevel="0" collapsed="false">
      <c r="A21" s="74" t="n">
        <f aca="false">((DCF!$G$21/'Income Statement'!$G$9)^(1/5)-1)+(-0.03)</f>
        <v>0.00581046748855466</v>
      </c>
      <c r="B21" s="27" t="n">
        <f aca="false">(SUMPRODUCT(DCF!$D$31:$F$31/(1+DCF!$C$15)^(DCF!$D$20:$F$20-0.5))+(('Income Statement'!$G$9*(1+$A21)^5*B$20-DCF!$G$23)*(1-DCF!$G$25)+DCF!$G$23+DCF!$G$30)*(1/(1+DCF!$C$15)^(DCF!$G$20-0.5)+(1+DCF!$C$16)/(DCF!$C$15-DCF!$C$16)/(1+DCF!$C$15)^DCF!$G$20)+(DCF!$C$47+DCF!$C$48+DCF!$C$49))/DCF!$C$51*Inputs!$C$7</f>
        <v>24.1050637603365</v>
      </c>
      <c r="C21" s="27" t="n">
        <f aca="false">(SUMPRODUCT(DCF!$D$31:$F$31/(1+DCF!$C$15)^(DCF!$D$20:$F$20-0.5))+(('Income Statement'!$G$9*(1+$A21)^5*C$20-DCF!$G$23)*(1-DCF!$G$25)+DCF!$G$23+DCF!$G$30)*(1/(1+DCF!$C$15)^(DCF!$G$20-0.5)+(1+DCF!$C$16)/(DCF!$C$15-DCF!$C$16)/(1+DCF!$C$15)^DCF!$G$20)+(DCF!$C$47+DCF!$C$48+DCF!$C$49))/DCF!$C$51*Inputs!$C$7</f>
        <v>27.8120811288219</v>
      </c>
      <c r="D21" s="27" t="n">
        <f aca="false">(SUMPRODUCT(DCF!$D$31:$F$31/(1+DCF!$C$15)^(DCF!$D$20:$F$20-0.5))+(('Income Statement'!$G$9*(1+$A21)^5*D$20-DCF!$G$23)*(1-DCF!$G$25)+DCF!$G$23+DCF!$G$30)*(1/(1+DCF!$C$15)^(DCF!$G$20-0.5)+(1+DCF!$C$16)/(DCF!$C$15-DCF!$C$16)/(1+DCF!$C$15)^DCF!$G$20)+(DCF!$C$47+DCF!$C$48+DCF!$C$49))/DCF!$C$51*Inputs!$C$7</f>
        <v>31.5190984973072</v>
      </c>
      <c r="E21" s="27" t="n">
        <f aca="false">(SUMPRODUCT(DCF!$D$31:$F$31/(1+DCF!$C$15)^(DCF!$D$20:$F$20-0.5))+(('Income Statement'!$G$9*(1+$A21)^5*E$20-DCF!$G$23)*(1-DCF!$G$25)+DCF!$G$23+DCF!$G$30)*(1/(1+DCF!$C$15)^(DCF!$G$20-0.5)+(1+DCF!$C$16)/(DCF!$C$15-DCF!$C$16)/(1+DCF!$C$15)^DCF!$G$20)+(DCF!$C$47+DCF!$C$48+DCF!$C$49))/DCF!$C$51*Inputs!$C$7</f>
        <v>35.2261158657926</v>
      </c>
      <c r="F21" s="27" t="n">
        <f aca="false">(SUMPRODUCT(DCF!$D$31:$F$31/(1+DCF!$C$15)^(DCF!$D$20:$F$20-0.5))+(('Income Statement'!$G$9*(1+$A21)^5*F$20-DCF!$G$23)*(1-DCF!$G$25)+DCF!$G$23+DCF!$G$30)*(1/(1+DCF!$C$15)^(DCF!$G$20-0.5)+(1+DCF!$C$16)/(DCF!$C$15-DCF!$C$16)/(1+DCF!$C$15)^DCF!$G$20)+(DCF!$C$47+DCF!$C$48+DCF!$C$49))/DCF!$C$51*Inputs!$C$7</f>
        <v>38.9331332342779</v>
      </c>
    </row>
    <row r="22" customFormat="false" ht="15" hidden="false" customHeight="false" outlineLevel="0" collapsed="false">
      <c r="A22" s="74" t="n">
        <f aca="false">((DCF!$G$21/'Income Statement'!$G$9)^(1/5)-1)+(-0.015)</f>
        <v>0.0208104674885547</v>
      </c>
      <c r="B22" s="27" t="n">
        <f aca="false">(SUMPRODUCT(DCF!$D$31:$F$31/(1+DCF!$C$15)^(DCF!$D$20:$F$20-0.5))+(('Income Statement'!$G$9*(1+$A22)^5*B$20-DCF!$G$23)*(1-DCF!$G$25)+DCF!$G$23+DCF!$G$30)*(1/(1+DCF!$C$15)^(DCF!$G$20-0.5)+(1+DCF!$C$16)/(DCF!$C$15-DCF!$C$16)/(1+DCF!$C$15)^DCF!$G$20)+(DCF!$C$47+DCF!$C$48+DCF!$C$49))/DCF!$C$51*Inputs!$C$7</f>
        <v>25.8177581005329</v>
      </c>
      <c r="C22" s="27" t="n">
        <f aca="false">(SUMPRODUCT(DCF!$D$31:$F$31/(1+DCF!$C$15)^(DCF!$D$20:$F$20-0.5))+(('Income Statement'!$G$9*(1+$A22)^5*C$20-DCF!$G$23)*(1-DCF!$G$25)+DCF!$G$23+DCF!$G$30)*(1/(1+DCF!$C$15)^(DCF!$G$20-0.5)+(1+DCF!$C$16)/(DCF!$C$15-DCF!$C$16)/(1+DCF!$C$15)^DCF!$G$20)+(DCF!$C$47+DCF!$C$48+DCF!$C$49))/DCF!$C$51*Inputs!$C$7</f>
        <v>29.809564216478</v>
      </c>
      <c r="D22" s="27" t="n">
        <f aca="false">(SUMPRODUCT(DCF!$D$31:$F$31/(1+DCF!$C$15)^(DCF!$D$20:$F$20-0.5))+(('Income Statement'!$G$9*(1+$A22)^5*D$20-DCF!$G$23)*(1-DCF!$G$25)+DCF!$G$23+DCF!$G$30)*(1/(1+DCF!$C$15)^(DCF!$G$20-0.5)+(1+DCF!$C$16)/(DCF!$C$15-DCF!$C$16)/(1+DCF!$C$15)^DCF!$G$20)+(DCF!$C$47+DCF!$C$48+DCF!$C$49))/DCF!$C$51*Inputs!$C$7</f>
        <v>33.801370332423</v>
      </c>
      <c r="E22" s="27" t="n">
        <f aca="false">(SUMPRODUCT(DCF!$D$31:$F$31/(1+DCF!$C$15)^(DCF!$D$20:$F$20-0.5))+(('Income Statement'!$G$9*(1+$A22)^5*E$20-DCF!$G$23)*(1-DCF!$G$25)+DCF!$G$23+DCF!$G$30)*(1/(1+DCF!$C$15)^(DCF!$G$20-0.5)+(1+DCF!$C$16)/(DCF!$C$15-DCF!$C$16)/(1+DCF!$C$15)^DCF!$G$20)+(DCF!$C$47+DCF!$C$48+DCF!$C$49))/DCF!$C$51*Inputs!$C$7</f>
        <v>37.793176448368</v>
      </c>
      <c r="F22" s="27" t="n">
        <f aca="false">(SUMPRODUCT(DCF!$D$31:$F$31/(1+DCF!$C$15)^(DCF!$D$20:$F$20-0.5))+(('Income Statement'!$G$9*(1+$A22)^5*F$20-DCF!$G$23)*(1-DCF!$G$25)+DCF!$G$23+DCF!$G$30)*(1/(1+DCF!$C$15)^(DCF!$G$20-0.5)+(1+DCF!$C$16)/(DCF!$C$15-DCF!$C$16)/(1+DCF!$C$15)^DCF!$G$20)+(DCF!$C$47+DCF!$C$48+DCF!$C$49))/DCF!$C$51*Inputs!$C$7</f>
        <v>41.784982564313</v>
      </c>
    </row>
    <row r="23" customFormat="false" ht="15" hidden="false" customHeight="false" outlineLevel="0" collapsed="false">
      <c r="A23" s="74" t="n">
        <f aca="false">((DCF!$G$21/'Income Statement'!$G$9)^(1/5)-1)+(0)</f>
        <v>0.0358104674885547</v>
      </c>
      <c r="B23" s="27" t="n">
        <f aca="false">(SUMPRODUCT(DCF!$D$31:$F$31/(1+DCF!$C$15)^(DCF!$D$20:$F$20-0.5))+(('Income Statement'!$G$9*(1+$A23)^5*B$20-DCF!$G$23)*(1-DCF!$G$25)+DCF!$G$23+DCF!$G$30)*(1/(1+DCF!$C$15)^(DCF!$G$20-0.5)+(1+DCF!$C$16)/(DCF!$C$15-DCF!$C$16)/(1+DCF!$C$15)^DCF!$G$20)+(DCF!$C$47+DCF!$C$48+DCF!$C$49))/DCF!$C$51*Inputs!$C$7</f>
        <v>27.6341325973274</v>
      </c>
      <c r="C23" s="27" t="n">
        <f aca="false">(SUMPRODUCT(DCF!$D$31:$F$31/(1+DCF!$C$15)^(DCF!$D$20:$F$20-0.5))+(('Income Statement'!$G$9*(1+$A23)^5*C$20-DCF!$G$23)*(1-DCF!$G$25)+DCF!$G$23+DCF!$G$30)*(1/(1+DCF!$C$15)^(DCF!$G$20-0.5)+(1+DCF!$C$16)/(DCF!$C$15-DCF!$C$16)/(1+DCF!$C$15)^DCF!$G$20)+(DCF!$C$47+DCF!$C$48+DCF!$C$49))/DCF!$C$51*Inputs!$C$7</f>
        <v>31.927967514162</v>
      </c>
      <c r="D23" s="77" t="n">
        <f aca="false">(SUMPRODUCT(DCF!$D$31:$F$31/(1+DCF!$C$15)^(DCF!$D$20:$F$20-0.5))+(('Income Statement'!$G$9*(1+$A23)^5*D$20-DCF!$G$23)*(1-DCF!$G$25)+DCF!$G$23+DCF!$G$30)*(1/(1+DCF!$C$15)^(DCF!$G$20-0.5)+(1+DCF!$C$16)/(DCF!$C$15-DCF!$C$16)/(1+DCF!$C$15)^DCF!$G$20)+(DCF!$C$47+DCF!$C$48+DCF!$C$49))/DCF!$C$51*Inputs!$C$7</f>
        <v>36.2218024309965</v>
      </c>
      <c r="E23" s="27" t="n">
        <f aca="false">(SUMPRODUCT(DCF!$D$31:$F$31/(1+DCF!$C$15)^(DCF!$D$20:$F$20-0.5))+(('Income Statement'!$G$9*(1+$A23)^5*E$20-DCF!$G$23)*(1-DCF!$G$25)+DCF!$G$23+DCF!$G$30)*(1/(1+DCF!$C$15)^(DCF!$G$20-0.5)+(1+DCF!$C$16)/(DCF!$C$15-DCF!$C$16)/(1+DCF!$C$15)^DCF!$G$20)+(DCF!$C$47+DCF!$C$48+DCF!$C$49))/DCF!$C$51*Inputs!$C$7</f>
        <v>40.515637347831</v>
      </c>
      <c r="F23" s="27" t="n">
        <f aca="false">(SUMPRODUCT(DCF!$D$31:$F$31/(1+DCF!$C$15)^(DCF!$D$20:$F$20-0.5))+(('Income Statement'!$G$9*(1+$A23)^5*F$20-DCF!$G$23)*(1-DCF!$G$25)+DCF!$G$23+DCF!$G$30)*(1/(1+DCF!$C$15)^(DCF!$G$20-0.5)+(1+DCF!$C$16)/(DCF!$C$15-DCF!$C$16)/(1+DCF!$C$15)^DCF!$G$20)+(DCF!$C$47+DCF!$C$48+DCF!$C$49))/DCF!$C$51*Inputs!$C$7</f>
        <v>44.8094722646655</v>
      </c>
    </row>
    <row r="24" customFormat="false" ht="15" hidden="false" customHeight="false" outlineLevel="0" collapsed="false">
      <c r="A24" s="74" t="n">
        <f aca="false">((DCF!$G$21/'Income Statement'!$G$9)^(1/5)-1)+(0.015)</f>
        <v>0.0508104674885547</v>
      </c>
      <c r="B24" s="27" t="n">
        <f aca="false">(SUMPRODUCT(DCF!$D$31:$F$31/(1+DCF!$C$15)^(DCF!$D$20:$F$20-0.5))+(('Income Statement'!$G$9*(1+$A24)^5*B$20-DCF!$G$23)*(1-DCF!$G$25)+DCF!$G$23+DCF!$G$30)*(1/(1+DCF!$C$15)^(DCF!$G$20-0.5)+(1+DCF!$C$16)/(DCF!$C$15-DCF!$C$16)/(1+DCF!$C$15)^DCF!$G$20)+(DCF!$C$47+DCF!$C$48+DCF!$C$49))/DCF!$C$51*Inputs!$C$7</f>
        <v>29.5588248961903</v>
      </c>
      <c r="C24" s="27" t="n">
        <f aca="false">(SUMPRODUCT(DCF!$D$31:$F$31/(1+DCF!$C$15)^(DCF!$D$20:$F$20-0.5))+(('Income Statement'!$G$9*(1+$A24)^5*C$20-DCF!$G$23)*(1-DCF!$G$25)+DCF!$G$23+DCF!$G$30)*(1/(1+DCF!$C$15)^(DCF!$G$20-0.5)+(1+DCF!$C$16)/(DCF!$C$15-DCF!$C$16)/(1+DCF!$C$15)^DCF!$G$20)+(DCF!$C$47+DCF!$C$48+DCF!$C$49))/DCF!$C$51*Inputs!$C$7</f>
        <v>34.172699820266</v>
      </c>
      <c r="D24" s="27" t="n">
        <f aca="false">(SUMPRODUCT(DCF!$D$31:$F$31/(1+DCF!$C$15)^(DCF!$D$20:$F$20-0.5))+(('Income Statement'!$G$9*(1+$A24)^5*D$20-DCF!$G$23)*(1-DCF!$G$25)+DCF!$G$23+DCF!$G$30)*(1/(1+DCF!$C$15)^(DCF!$G$20-0.5)+(1+DCF!$C$16)/(DCF!$C$15-DCF!$C$16)/(1+DCF!$C$15)^DCF!$G$20)+(DCF!$C$47+DCF!$C$48+DCF!$C$49))/DCF!$C$51*Inputs!$C$7</f>
        <v>38.7865747443417</v>
      </c>
      <c r="E24" s="27" t="n">
        <f aca="false">(SUMPRODUCT(DCF!$D$31:$F$31/(1+DCF!$C$15)^(DCF!$D$20:$F$20-0.5))+(('Income Statement'!$G$9*(1+$A24)^5*E$20-DCF!$G$23)*(1-DCF!$G$25)+DCF!$G$23+DCF!$G$30)*(1/(1+DCF!$C$15)^(DCF!$G$20-0.5)+(1+DCF!$C$16)/(DCF!$C$15-DCF!$C$16)/(1+DCF!$C$15)^DCF!$G$20)+(DCF!$C$47+DCF!$C$48+DCF!$C$49))/DCF!$C$51*Inputs!$C$7</f>
        <v>43.4004496684174</v>
      </c>
      <c r="F24" s="27" t="n">
        <f aca="false">(SUMPRODUCT(DCF!$D$31:$F$31/(1+DCF!$C$15)^(DCF!$D$20:$F$20-0.5))+(('Income Statement'!$G$9*(1+$A24)^5*F$20-DCF!$G$23)*(1-DCF!$G$25)+DCF!$G$23+DCF!$G$30)*(1/(1+DCF!$C$15)^(DCF!$G$20-0.5)+(1+DCF!$C$16)/(DCF!$C$15-DCF!$C$16)/(1+DCF!$C$15)^DCF!$G$20)+(DCF!$C$47+DCF!$C$48+DCF!$C$49))/DCF!$C$51*Inputs!$C$7</f>
        <v>48.0143245924931</v>
      </c>
    </row>
    <row r="25" customFormat="false" ht="15" hidden="false" customHeight="false" outlineLevel="0" collapsed="false">
      <c r="A25" s="74" t="n">
        <f aca="false">((DCF!$G$21/'Income Statement'!$G$9)^(1/5)-1)+(0.03)</f>
        <v>0.0658104674885547</v>
      </c>
      <c r="B25" s="27" t="n">
        <f aca="false">(SUMPRODUCT(DCF!$D$31:$F$31/(1+DCF!$C$15)^(DCF!$D$20:$F$20-0.5))+(('Income Statement'!$G$9*(1+$A25)^5*B$20-DCF!$G$23)*(1-DCF!$G$25)+DCF!$G$23+DCF!$G$30)*(1/(1+DCF!$C$15)^(DCF!$G$20-0.5)+(1+DCF!$C$16)/(DCF!$C$15-DCF!$C$16)/(1+DCF!$C$15)^DCF!$G$20)+(DCF!$C$47+DCF!$C$48+DCF!$C$49))/DCF!$C$51*Inputs!$C$7</f>
        <v>31.5966089211343</v>
      </c>
      <c r="C25" s="27" t="n">
        <f aca="false">(SUMPRODUCT(DCF!$D$31:$F$31/(1+DCF!$C$15)^(DCF!$D$20:$F$20-0.5))+(('Income Statement'!$G$9*(1+$A25)^5*C$20-DCF!$G$23)*(1-DCF!$G$25)+DCF!$G$23+DCF!$G$30)*(1/(1+DCF!$C$15)^(DCF!$G$20-0.5)+(1+DCF!$C$16)/(DCF!$C$15-DCF!$C$16)/(1+DCF!$C$15)^DCF!$G$20)+(DCF!$C$47+DCF!$C$48+DCF!$C$49))/DCF!$C$51*Inputs!$C$7</f>
        <v>36.5493288722746</v>
      </c>
      <c r="D25" s="27" t="n">
        <f aca="false">(SUMPRODUCT(DCF!$D$31:$F$31/(1+DCF!$C$15)^(DCF!$D$20:$F$20-0.5))+(('Income Statement'!$G$9*(1+$A25)^5*D$20-DCF!$G$23)*(1-DCF!$G$25)+DCF!$G$23+DCF!$G$30)*(1/(1+DCF!$C$15)^(DCF!$G$20-0.5)+(1+DCF!$C$16)/(DCF!$C$15-DCF!$C$16)/(1+DCF!$C$15)^DCF!$G$20)+(DCF!$C$47+DCF!$C$48+DCF!$C$49))/DCF!$C$51*Inputs!$C$7</f>
        <v>41.5020488234148</v>
      </c>
      <c r="E25" s="27" t="n">
        <f aca="false">(SUMPRODUCT(DCF!$D$31:$F$31/(1+DCF!$C$15)^(DCF!$D$20:$F$20-0.5))+(('Income Statement'!$G$9*(1+$A25)^5*E$20-DCF!$G$23)*(1-DCF!$G$25)+DCF!$G$23+DCF!$G$30)*(1/(1+DCF!$C$15)^(DCF!$G$20-0.5)+(1+DCF!$C$16)/(DCF!$C$15-DCF!$C$16)/(1+DCF!$C$15)^DCF!$G$20)+(DCF!$C$47+DCF!$C$48+DCF!$C$49))/DCF!$C$51*Inputs!$C$7</f>
        <v>46.454768774555</v>
      </c>
      <c r="F25" s="27" t="n">
        <f aca="false">(SUMPRODUCT(DCF!$D$31:$F$31/(1+DCF!$C$15)^(DCF!$D$20:$F$20-0.5))+(('Income Statement'!$G$9*(1+$A25)^5*F$20-DCF!$G$23)*(1-DCF!$G$25)+DCF!$G$23+DCF!$G$30)*(1/(1+DCF!$C$15)^(DCF!$G$20-0.5)+(1+DCF!$C$16)/(DCF!$C$15-DCF!$C$16)/(1+DCF!$C$15)^DCF!$G$20)+(DCF!$C$47+DCF!$C$48+DCF!$C$49))/DCF!$C$51*Inputs!$C$7</f>
        <v>51.4074887256953</v>
      </c>
    </row>
    <row r="26" customFormat="false" ht="15" hidden="false" customHeight="false" outlineLevel="0" collapsed="false">
      <c r="A26" s="17" t="s">
        <v>654</v>
      </c>
    </row>
    <row r="30" customFormat="false" ht="15" hidden="false" customHeight="false" outlineLevel="0" collapsed="false">
      <c r="A30" s="3" t="s">
        <v>655</v>
      </c>
    </row>
    <row r="31" customFormat="false" ht="15" hidden="false" customHeight="false" outlineLevel="0" collapsed="false">
      <c r="A31" s="18" t="s">
        <v>656</v>
      </c>
      <c r="B31" s="45" t="s">
        <v>264</v>
      </c>
      <c r="C31" s="45" t="s">
        <v>263</v>
      </c>
      <c r="D31" s="45" t="s">
        <v>262</v>
      </c>
      <c r="E31" s="45" t="s">
        <v>657</v>
      </c>
    </row>
    <row r="32" customFormat="false" ht="15" hidden="false" customHeight="false" outlineLevel="0" collapsed="false">
      <c r="A32" s="48" t="s">
        <v>7</v>
      </c>
      <c r="B32" s="6" t="n">
        <f aca="false">Scenarios!E118</f>
        <v>2.12226202449278</v>
      </c>
      <c r="C32" s="6" t="n">
        <f aca="false">Scenarios!D118</f>
        <v>3.4208878276734</v>
      </c>
      <c r="D32" s="6" t="n">
        <f aca="false">Scenarios!C118</f>
        <v>4.39188178851663</v>
      </c>
      <c r="E32" s="6" t="n">
        <f aca="false">'Income Statement'!I59</f>
        <v>3.4208878276734</v>
      </c>
    </row>
    <row r="33" customFormat="false" ht="15" hidden="false" customHeight="false" outlineLevel="0" collapsed="false">
      <c r="A33" s="78" t="n">
        <v>7</v>
      </c>
      <c r="B33" s="27" t="n">
        <f aca="false">$A33*B$32</f>
        <v>14.8558341714495</v>
      </c>
      <c r="C33" s="27" t="n">
        <f aca="false">$A33*C$32</f>
        <v>23.9462147937138</v>
      </c>
      <c r="D33" s="27" t="n">
        <f aca="false">$A33*D$32</f>
        <v>30.7431725196164</v>
      </c>
      <c r="E33" s="27" t="n">
        <f aca="false">$A33*E$32</f>
        <v>23.9462147937138</v>
      </c>
    </row>
    <row r="34" customFormat="false" ht="15" hidden="false" customHeight="false" outlineLevel="0" collapsed="false">
      <c r="A34" s="78" t="n">
        <v>8</v>
      </c>
      <c r="B34" s="27" t="n">
        <f aca="false">$A34*B$32</f>
        <v>16.9780961959422</v>
      </c>
      <c r="C34" s="27" t="n">
        <f aca="false">$A34*C$32</f>
        <v>27.3671026213872</v>
      </c>
      <c r="D34" s="27" t="n">
        <f aca="false">$A34*D$32</f>
        <v>35.135054308133</v>
      </c>
      <c r="E34" s="27" t="n">
        <f aca="false">$A34*E$32</f>
        <v>27.3671026213872</v>
      </c>
    </row>
    <row r="35" customFormat="false" ht="15" hidden="false" customHeight="false" outlineLevel="0" collapsed="false">
      <c r="A35" s="78" t="n">
        <v>9</v>
      </c>
      <c r="B35" s="27" t="n">
        <f aca="false">$A35*B$32</f>
        <v>19.100358220435</v>
      </c>
      <c r="C35" s="27" t="n">
        <f aca="false">$A35*C$32</f>
        <v>30.7879904490606</v>
      </c>
      <c r="D35" s="27" t="n">
        <f aca="false">$A35*D$32</f>
        <v>39.5269360966497</v>
      </c>
      <c r="E35" s="27" t="n">
        <f aca="false">$A35*E$32</f>
        <v>30.7879904490606</v>
      </c>
    </row>
    <row r="36" customFormat="false" ht="15" hidden="false" customHeight="false" outlineLevel="0" collapsed="false">
      <c r="A36" s="78" t="n">
        <v>10</v>
      </c>
      <c r="B36" s="27" t="n">
        <f aca="false">$A36*B$32</f>
        <v>21.2226202449278</v>
      </c>
      <c r="C36" s="27" t="n">
        <f aca="false">$A36*C$32</f>
        <v>34.208878276734</v>
      </c>
      <c r="D36" s="27" t="n">
        <f aca="false">$A36*D$32</f>
        <v>43.9188178851663</v>
      </c>
      <c r="E36" s="27" t="n">
        <f aca="false">$A36*E$32</f>
        <v>34.208878276734</v>
      </c>
    </row>
    <row r="37" customFormat="false" ht="15" hidden="false" customHeight="false" outlineLevel="0" collapsed="false">
      <c r="A37" s="78" t="n">
        <v>11</v>
      </c>
      <c r="B37" s="27" t="n">
        <f aca="false">$A37*B$32</f>
        <v>23.3448822694206</v>
      </c>
      <c r="C37" s="27" t="n">
        <f aca="false">$A37*C$32</f>
        <v>37.6297661044074</v>
      </c>
      <c r="D37" s="27" t="n">
        <f aca="false">$A37*D$32</f>
        <v>48.3106996736829</v>
      </c>
      <c r="E37" s="27" t="n">
        <f aca="false">$A37*E$32</f>
        <v>37.6297661044073</v>
      </c>
    </row>
    <row r="38" customFormat="false" ht="15" hidden="false" customHeight="false" outlineLevel="0" collapsed="false">
      <c r="A38" s="78" t="n">
        <v>12</v>
      </c>
      <c r="B38" s="27" t="n">
        <f aca="false">$A38*B$32</f>
        <v>25.4671442939134</v>
      </c>
      <c r="C38" s="27" t="n">
        <f aca="false">$A38*C$32</f>
        <v>41.0506539320808</v>
      </c>
      <c r="D38" s="27" t="n">
        <f aca="false">$A38*D$32</f>
        <v>52.7025814621996</v>
      </c>
      <c r="E38" s="27" t="n">
        <f aca="false">$A38*E$32</f>
        <v>41.0506539320807</v>
      </c>
    </row>
    <row r="39" customFormat="false" ht="15" hidden="false" customHeight="false" outlineLevel="0" collapsed="false">
      <c r="A39" s="78" t="n">
        <v>13</v>
      </c>
      <c r="B39" s="27" t="n">
        <f aca="false">$A39*B$32</f>
        <v>27.5894063184061</v>
      </c>
      <c r="C39" s="27" t="n">
        <f aca="false">$A39*C$32</f>
        <v>44.4715417597542</v>
      </c>
      <c r="D39" s="27" t="n">
        <f aca="false">$A39*D$32</f>
        <v>57.0944632507162</v>
      </c>
      <c r="E39" s="27" t="n">
        <f aca="false">$A39*E$32</f>
        <v>44.4715417597541</v>
      </c>
    </row>
    <row r="40" customFormat="false" ht="15" hidden="false" customHeight="false" outlineLevel="0" collapsed="false">
      <c r="A40" s="78" t="n">
        <v>14</v>
      </c>
      <c r="B40" s="27" t="n">
        <f aca="false">$A40*B$32</f>
        <v>29.7116683428989</v>
      </c>
      <c r="C40" s="27" t="n">
        <f aca="false">$A40*C$32</f>
        <v>47.8924295874276</v>
      </c>
      <c r="D40" s="27" t="n">
        <f aca="false">$A40*D$32</f>
        <v>61.4863450392328</v>
      </c>
      <c r="E40" s="27" t="n">
        <f aca="false">$A40*E$32</f>
        <v>47.8924295874275</v>
      </c>
    </row>
    <row r="42" customFormat="false" ht="15" hidden="false" customHeight="false" outlineLevel="0" collapsed="false">
      <c r="A42" s="3" t="s">
        <v>658</v>
      </c>
    </row>
    <row r="43" customFormat="false" ht="15" hidden="false" customHeight="false" outlineLevel="0" collapsed="false">
      <c r="A43" s="18" t="s">
        <v>659</v>
      </c>
      <c r="B43" s="45" t="s">
        <v>660</v>
      </c>
      <c r="C43" s="45" t="s">
        <v>661</v>
      </c>
      <c r="D43" s="45" t="s">
        <v>662</v>
      </c>
      <c r="E43" s="45" t="s">
        <v>663</v>
      </c>
      <c r="F43" s="45" t="s">
        <v>664</v>
      </c>
      <c r="G43" s="45" t="s">
        <v>665</v>
      </c>
    </row>
    <row r="44" customFormat="false" ht="15" hidden="false" customHeight="false" outlineLevel="0" collapsed="false">
      <c r="A44" s="79" t="n">
        <v>-0.2</v>
      </c>
      <c r="B44" s="25" t="n">
        <f aca="false">'Revenue Model'!$I$15*(1+A44)</f>
        <v>598.520818665365</v>
      </c>
      <c r="C44" s="25" t="n">
        <f aca="false">'Revenue Model'!$I$12*'Revenue Model'!$I$15*A44*(1+'Revenue Model'!$I$18)/1000</f>
        <v>-659.177909933225</v>
      </c>
      <c r="D44" s="25" t="n">
        <f aca="false">C44*(1-Scenarios!$I$72)*(1-Scenarios!$I$73)</f>
        <v>-644.084054151574</v>
      </c>
      <c r="E44" s="27" t="n">
        <f aca="false">'Income Statement'!$I$59+D44/'Income Statement'!$I$56*Inputs!$C$7</f>
        <v>1.55999752044468</v>
      </c>
      <c r="F44" s="9" t="n">
        <f aca="false">E44/'Income Statement'!$I$59-1</f>
        <v>-0.543978756676842</v>
      </c>
      <c r="G44" s="8" t="n">
        <f aca="false">Inputs!$C$6/E44</f>
        <v>30.5641511445536</v>
      </c>
    </row>
    <row r="45" customFormat="false" ht="15" hidden="false" customHeight="false" outlineLevel="0" collapsed="false">
      <c r="A45" s="79" t="n">
        <v>-0.15</v>
      </c>
      <c r="B45" s="25" t="n">
        <f aca="false">'Revenue Model'!$I$15*(1+A45)</f>
        <v>635.92836983195</v>
      </c>
      <c r="C45" s="25" t="n">
        <f aca="false">'Revenue Model'!$I$12*'Revenue Model'!$I$15*A45*(1+'Revenue Model'!$I$18)/1000</f>
        <v>-494.383432449918</v>
      </c>
      <c r="D45" s="25" t="n">
        <f aca="false">C45*(1-Scenarios!$I$72)*(1-Scenarios!$I$73)</f>
        <v>-483.06304061368</v>
      </c>
      <c r="E45" s="27" t="n">
        <f aca="false">'Income Statement'!$I$59+D45/'Income Statement'!$I$56*Inputs!$C$7</f>
        <v>2.02522009725186</v>
      </c>
      <c r="F45" s="9" t="n">
        <f aca="false">E45/'Income Statement'!$I$59-1</f>
        <v>-0.407984067507631</v>
      </c>
      <c r="G45" s="8" t="n">
        <f aca="false">Inputs!$C$6/E45</f>
        <v>23.5431201105993</v>
      </c>
    </row>
    <row r="46" customFormat="false" ht="15" hidden="false" customHeight="false" outlineLevel="0" collapsed="false">
      <c r="A46" s="79" t="n">
        <v>-0.1</v>
      </c>
      <c r="B46" s="25" t="n">
        <f aca="false">'Revenue Model'!$I$15*(1+A46)</f>
        <v>673.335920998536</v>
      </c>
      <c r="C46" s="25" t="n">
        <f aca="false">'Revenue Model'!$I$12*'Revenue Model'!$I$15*A46*(1+'Revenue Model'!$I$18)/1000</f>
        <v>-329.588954966612</v>
      </c>
      <c r="D46" s="25" t="n">
        <f aca="false">C46*(1-Scenarios!$I$72)*(1-Scenarios!$I$73)</f>
        <v>-322.042027075787</v>
      </c>
      <c r="E46" s="27" t="n">
        <f aca="false">'Income Statement'!$I$59+D46/'Income Statement'!$I$56*Inputs!$C$7</f>
        <v>2.49044267405904</v>
      </c>
      <c r="F46" s="9" t="n">
        <f aca="false">E46/'Income Statement'!$I$59-1</f>
        <v>-0.271989378338421</v>
      </c>
      <c r="G46" s="8" t="n">
        <f aca="false">Inputs!$C$6/E46</f>
        <v>19.145190731208</v>
      </c>
    </row>
    <row r="47" customFormat="false" ht="15" hidden="false" customHeight="false" outlineLevel="0" collapsed="false">
      <c r="A47" s="79" t="n">
        <v>-0.05</v>
      </c>
      <c r="B47" s="25" t="n">
        <f aca="false">'Revenue Model'!$I$15*(1+A47)</f>
        <v>710.743472165121</v>
      </c>
      <c r="C47" s="25" t="n">
        <f aca="false">'Revenue Model'!$I$12*'Revenue Model'!$I$15*A47*(1+'Revenue Model'!$I$18)/1000</f>
        <v>-164.794477483306</v>
      </c>
      <c r="D47" s="25" t="n">
        <f aca="false">C47*(1-Scenarios!$I$72)*(1-Scenarios!$I$73)</f>
        <v>-161.021013537893</v>
      </c>
      <c r="E47" s="27" t="n">
        <f aca="false">'Income Statement'!$I$59+D47/'Income Statement'!$I$56*Inputs!$C$7</f>
        <v>2.95566525086622</v>
      </c>
      <c r="F47" s="9" t="n">
        <f aca="false">E47/'Income Statement'!$I$59-1</f>
        <v>-0.13599468916921</v>
      </c>
      <c r="G47" s="8" t="n">
        <f aca="false">Inputs!$C$6/E47</f>
        <v>16.131732098561</v>
      </c>
    </row>
    <row r="48" customFormat="false" ht="15" hidden="false" customHeight="false" outlineLevel="0" collapsed="false">
      <c r="A48" s="79" t="n">
        <v>0</v>
      </c>
      <c r="B48" s="25" t="n">
        <f aca="false">'Revenue Model'!$I$15*(1+A48)</f>
        <v>748.151023331706</v>
      </c>
      <c r="C48" s="25" t="n">
        <f aca="false">'Revenue Model'!$I$12*'Revenue Model'!$I$15*A48*(1+'Revenue Model'!$I$18)/1000</f>
        <v>0</v>
      </c>
      <c r="D48" s="25" t="n">
        <f aca="false">C48*(1-Scenarios!$I$72)*(1-Scenarios!$I$73)</f>
        <v>0</v>
      </c>
      <c r="E48" s="27" t="n">
        <f aca="false">'Income Statement'!$I$59+D48/'Income Statement'!$I$56*Inputs!$C$7</f>
        <v>3.4208878276734</v>
      </c>
      <c r="F48" s="9" t="n">
        <f aca="false">E48/'Income Statement'!$I$59-1</f>
        <v>0</v>
      </c>
      <c r="G48" s="8" t="n">
        <f aca="false">Inputs!$C$6/E48</f>
        <v>13.9379022060563</v>
      </c>
    </row>
    <row r="49" customFormat="false" ht="15" hidden="false" customHeight="false" outlineLevel="0" collapsed="false">
      <c r="A49" s="79" t="n">
        <v>0.05</v>
      </c>
      <c r="B49" s="25" t="n">
        <f aca="false">'Revenue Model'!$I$15*(1+A49)</f>
        <v>785.558574498292</v>
      </c>
      <c r="C49" s="25" t="n">
        <f aca="false">'Revenue Model'!$I$12*'Revenue Model'!$I$15*A49*(1+'Revenue Model'!$I$18)/1000</f>
        <v>164.794477483306</v>
      </c>
      <c r="D49" s="25" t="n">
        <f aca="false">C49*(1-Scenarios!$I$72)*(1-Scenarios!$I$73)</f>
        <v>161.021013537893</v>
      </c>
      <c r="E49" s="27" t="n">
        <f aca="false">'Income Statement'!$I$59+D49/'Income Statement'!$I$56*Inputs!$C$7</f>
        <v>3.88611040448057</v>
      </c>
      <c r="F49" s="9" t="n">
        <f aca="false">E49/'Income Statement'!$I$59-1</f>
        <v>0.13599468916921</v>
      </c>
      <c r="G49" s="8" t="n">
        <f aca="false">Inputs!$C$6/E49</f>
        <v>12.2693374704502</v>
      </c>
    </row>
    <row r="50" customFormat="false" ht="15" hidden="false" customHeight="false" outlineLevel="0" collapsed="false">
      <c r="A50" s="79" t="n">
        <v>0.1</v>
      </c>
      <c r="B50" s="25" t="n">
        <f aca="false">'Revenue Model'!$I$15*(1+A50)</f>
        <v>822.966125664877</v>
      </c>
      <c r="C50" s="25" t="n">
        <f aca="false">'Revenue Model'!$I$12*'Revenue Model'!$I$15*A50*(1+'Revenue Model'!$I$18)/1000</f>
        <v>329.588954966612</v>
      </c>
      <c r="D50" s="25" t="n">
        <f aca="false">C50*(1-Scenarios!$I$72)*(1-Scenarios!$I$73)</f>
        <v>322.042027075787</v>
      </c>
      <c r="E50" s="27" t="n">
        <f aca="false">'Income Statement'!$I$59+D50/'Income Statement'!$I$56*Inputs!$C$7</f>
        <v>4.35133298128775</v>
      </c>
      <c r="F50" s="9" t="n">
        <f aca="false">E50/'Income Statement'!$I$59-1</f>
        <v>0.271989378338421</v>
      </c>
      <c r="G50" s="8" t="n">
        <f aca="false">Inputs!$C$6/E50</f>
        <v>10.9575617873972</v>
      </c>
    </row>
    <row r="51" customFormat="false" ht="15" hidden="false" customHeight="false" outlineLevel="0" collapsed="false">
      <c r="A51" s="79" t="n">
        <v>0.15</v>
      </c>
      <c r="B51" s="25" t="n">
        <f aca="false">'Revenue Model'!$I$15*(1+A51)</f>
        <v>860.373676831462</v>
      </c>
      <c r="C51" s="25" t="n">
        <f aca="false">'Revenue Model'!$I$12*'Revenue Model'!$I$15*A51*(1+'Revenue Model'!$I$18)/1000</f>
        <v>494.383432449918</v>
      </c>
      <c r="D51" s="25" t="n">
        <f aca="false">C51*(1-Scenarios!$I$72)*(1-Scenarios!$I$73)</f>
        <v>483.06304061368</v>
      </c>
      <c r="E51" s="27" t="n">
        <f aca="false">'Income Statement'!$I$59+D51/'Income Statement'!$I$56*Inputs!$C$7</f>
        <v>4.81655555809493</v>
      </c>
      <c r="F51" s="9" t="n">
        <f aca="false">E51/'Income Statement'!$I$59-1</f>
        <v>0.407984067507631</v>
      </c>
      <c r="G51" s="8" t="n">
        <f aca="false">Inputs!$C$6/E51</f>
        <v>9.89919028752128</v>
      </c>
    </row>
    <row r="52" customFormat="false" ht="15" hidden="false" customHeight="false" outlineLevel="0" collapsed="false">
      <c r="A52" s="17" t="s">
        <v>666</v>
      </c>
      <c r="E52" s="25" t="n">
        <f aca="false">'Revenue Model'!$I$12*10*(1+'Revenue Model'!$I$18)/1000</f>
        <v>44.0537999265</v>
      </c>
      <c r="F52" s="17" t="s">
        <v>89</v>
      </c>
    </row>
  </sheetData>
  <conditionalFormatting sqref="B7:F15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B21:F25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B33:E40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T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2"/>
    <col collapsed="false" customWidth="true" hidden="false" outlineLevel="0" max="3" min="3" style="0" width="8"/>
    <col collapsed="false" customWidth="true" hidden="false" outlineLevel="0" max="4" min="4" style="0" width="6"/>
    <col collapsed="false" customWidth="true" hidden="false" outlineLevel="0" max="5" min="5" style="0" width="10"/>
    <col collapsed="false" customWidth="true" hidden="false" outlineLevel="0" max="7" min="6" style="0" width="11"/>
    <col collapsed="false" customWidth="true" hidden="false" outlineLevel="0" max="11" min="8" style="0" width="10"/>
    <col collapsed="false" customWidth="true" hidden="false" outlineLevel="0" max="13" min="12" style="0" width="9"/>
    <col collapsed="false" customWidth="true" hidden="false" outlineLevel="0" max="14" min="14" style="0" width="8"/>
    <col collapsed="false" customWidth="true" hidden="false" outlineLevel="0" max="16" min="15" style="0" width="9"/>
    <col collapsed="false" customWidth="true" hidden="false" outlineLevel="0" max="17" min="17" style="0" width="10"/>
    <col collapsed="false" customWidth="true" hidden="false" outlineLevel="0" max="19" min="18" style="0" width="11"/>
    <col collapsed="false" customWidth="true" hidden="false" outlineLevel="0" max="20" min="20" style="0" width="60"/>
  </cols>
  <sheetData>
    <row r="1" customFormat="false" ht="15" hidden="false" customHeight="false" outlineLevel="0" collapsed="false">
      <c r="A1" s="16" t="s">
        <v>667</v>
      </c>
    </row>
    <row r="2" customFormat="false" ht="15" hidden="false" customHeight="false" outlineLevel="0" collapsed="false">
      <c r="A2" s="17" t="s">
        <v>668</v>
      </c>
    </row>
    <row r="5" customFormat="false" ht="30" hidden="false" customHeight="true" outlineLevel="0" collapsed="false">
      <c r="A5" s="80" t="s">
        <v>669</v>
      </c>
      <c r="B5" s="80" t="s">
        <v>670</v>
      </c>
      <c r="C5" s="80" t="s">
        <v>671</v>
      </c>
      <c r="D5" s="80" t="s">
        <v>672</v>
      </c>
      <c r="E5" s="80" t="s">
        <v>673</v>
      </c>
      <c r="F5" s="80" t="s">
        <v>674</v>
      </c>
      <c r="G5" s="80" t="s">
        <v>675</v>
      </c>
      <c r="H5" s="80" t="s">
        <v>676</v>
      </c>
      <c r="I5" s="80" t="s">
        <v>677</v>
      </c>
      <c r="J5" s="80" t="s">
        <v>678</v>
      </c>
      <c r="K5" s="80" t="s">
        <v>679</v>
      </c>
      <c r="L5" s="80" t="s">
        <v>680</v>
      </c>
      <c r="M5" s="80" t="s">
        <v>681</v>
      </c>
      <c r="N5" s="80" t="s">
        <v>682</v>
      </c>
      <c r="O5" s="80" t="s">
        <v>683</v>
      </c>
      <c r="P5" s="80" t="s">
        <v>684</v>
      </c>
      <c r="Q5" s="80" t="s">
        <v>685</v>
      </c>
      <c r="R5" s="80" t="s">
        <v>686</v>
      </c>
      <c r="S5" s="80" t="s">
        <v>687</v>
      </c>
    </row>
    <row r="6" customFormat="false" ht="15" hidden="false" customHeight="false" outlineLevel="0" collapsed="false">
      <c r="A6" s="4" t="s">
        <v>688</v>
      </c>
      <c r="B6" s="4" t="s">
        <v>689</v>
      </c>
      <c r="C6" s="4" t="s">
        <v>690</v>
      </c>
      <c r="D6" s="4" t="s">
        <v>691</v>
      </c>
      <c r="E6" s="22" t="n">
        <v>7.8413</v>
      </c>
      <c r="F6" s="24" t="n">
        <v>273.94</v>
      </c>
      <c r="G6" s="24" t="n">
        <v>252.57</v>
      </c>
      <c r="H6" s="25" t="n">
        <f aca="false">F6/E6</f>
        <v>34.9355336487572</v>
      </c>
      <c r="I6" s="25" t="n">
        <f aca="false">G6/E6</f>
        <v>32.2102202440922</v>
      </c>
      <c r="J6" s="36" t="n">
        <v>0.98</v>
      </c>
      <c r="K6" s="81" t="n">
        <v>4.2</v>
      </c>
      <c r="L6" s="81" t="n">
        <v>7.98</v>
      </c>
      <c r="M6" s="81" t="n">
        <v>7.8</v>
      </c>
      <c r="N6" s="36" t="n">
        <v>0.83</v>
      </c>
      <c r="O6" s="31" t="n">
        <v>0.0725</v>
      </c>
      <c r="P6" s="31" t="n">
        <v>0.1081</v>
      </c>
      <c r="Q6" s="31" t="n">
        <v>0.1816</v>
      </c>
      <c r="R6" s="31" t="n">
        <v>0.0185</v>
      </c>
      <c r="S6" s="31" t="n">
        <v>-0.1805</v>
      </c>
    </row>
    <row r="7" customFormat="false" ht="15" hidden="false" customHeight="false" outlineLevel="0" collapsed="false">
      <c r="A7" s="4" t="s">
        <v>692</v>
      </c>
      <c r="B7" s="4" t="s">
        <v>693</v>
      </c>
      <c r="C7" s="4" t="s">
        <v>690</v>
      </c>
      <c r="D7" s="4" t="s">
        <v>691</v>
      </c>
      <c r="E7" s="22" t="n">
        <v>7.8413</v>
      </c>
      <c r="F7" s="24" t="n">
        <v>99.25</v>
      </c>
      <c r="G7" s="24" t="n">
        <v>63.7</v>
      </c>
      <c r="H7" s="25" t="n">
        <f aca="false">F7/E7</f>
        <v>12.6573399818908</v>
      </c>
      <c r="I7" s="25" t="n">
        <f aca="false">G7/E7</f>
        <v>8.12365296570722</v>
      </c>
      <c r="J7" s="36" t="n">
        <v>0.81</v>
      </c>
      <c r="K7" s="81" t="n">
        <v>4.15</v>
      </c>
      <c r="L7" s="81" t="n">
        <v>9.83</v>
      </c>
      <c r="M7" s="81" t="n">
        <v>7.83</v>
      </c>
      <c r="N7" s="36" t="n">
        <v>0.91</v>
      </c>
      <c r="O7" s="31" t="n">
        <v>0.0595</v>
      </c>
      <c r="P7" s="31" t="n">
        <v>0.0948</v>
      </c>
      <c r="Q7" s="31" t="n">
        <v>0.146</v>
      </c>
      <c r="R7" s="31" t="n">
        <v>0.0376</v>
      </c>
      <c r="S7" s="31" t="n">
        <v>-0.3582</v>
      </c>
    </row>
    <row r="8" customFormat="false" ht="15" hidden="false" customHeight="false" outlineLevel="0" collapsed="false">
      <c r="A8" s="4" t="s">
        <v>694</v>
      </c>
      <c r="B8" s="4" t="s">
        <v>695</v>
      </c>
      <c r="C8" s="4" t="s">
        <v>690</v>
      </c>
      <c r="D8" s="4" t="s">
        <v>696</v>
      </c>
      <c r="E8" s="22" t="n">
        <v>32.57</v>
      </c>
      <c r="F8" s="24" t="n">
        <v>562.91</v>
      </c>
      <c r="G8" s="24" t="n">
        <v>595.82</v>
      </c>
      <c r="H8" s="25" t="n">
        <f aca="false">F8/E8</f>
        <v>17.2830825913417</v>
      </c>
      <c r="I8" s="25" t="n">
        <f aca="false">G8/E8</f>
        <v>18.2935216456862</v>
      </c>
      <c r="J8" s="36" t="n">
        <v>1.59</v>
      </c>
      <c r="K8" s="81" t="n">
        <v>5.6</v>
      </c>
      <c r="L8" s="81" t="n">
        <v>10.32</v>
      </c>
      <c r="M8" s="81" t="n">
        <v>5.3</v>
      </c>
      <c r="N8" s="36" t="n">
        <v>0.96</v>
      </c>
      <c r="O8" s="31" t="n">
        <v>0.0615</v>
      </c>
      <c r="P8" s="31" t="n">
        <v>0.1017</v>
      </c>
      <c r="Q8" s="31" t="n">
        <v>0.2343</v>
      </c>
      <c r="R8" s="31" t="n">
        <v>0.0228</v>
      </c>
      <c r="S8" s="31" t="n">
        <v>-0.0952</v>
      </c>
    </row>
    <row r="9" customFormat="false" ht="15" hidden="false" customHeight="false" outlineLevel="0" collapsed="false">
      <c r="A9" s="4" t="s">
        <v>697</v>
      </c>
      <c r="B9" s="4" t="s">
        <v>698</v>
      </c>
      <c r="C9" s="4" t="s">
        <v>690</v>
      </c>
      <c r="D9" s="4" t="s">
        <v>696</v>
      </c>
      <c r="E9" s="22" t="n">
        <v>32.57</v>
      </c>
      <c r="F9" s="24" t="n">
        <v>216.16</v>
      </c>
      <c r="G9" s="24" t="n">
        <v>106.16</v>
      </c>
      <c r="H9" s="25" t="n">
        <f aca="false">F9/E9</f>
        <v>6.63678231501382</v>
      </c>
      <c r="I9" s="25" t="n">
        <f aca="false">G9/E9</f>
        <v>3.25944120356156</v>
      </c>
      <c r="J9" s="36" t="n">
        <v>0.65</v>
      </c>
      <c r="K9" s="81" t="n">
        <v>3.51</v>
      </c>
      <c r="L9" s="81" t="n">
        <v>13.94</v>
      </c>
      <c r="M9" s="81" t="n">
        <v>7.13</v>
      </c>
      <c r="N9" s="36" t="n">
        <v>0.66</v>
      </c>
      <c r="O9" s="31" t="n">
        <v>0.0323</v>
      </c>
      <c r="P9" s="31" t="n">
        <v>0.0495</v>
      </c>
      <c r="Q9" s="31" t="n">
        <v>0.1164</v>
      </c>
      <c r="R9" s="31" t="n">
        <v>0.0286</v>
      </c>
      <c r="S9" s="31" t="n">
        <v>-0.1944</v>
      </c>
    </row>
    <row r="10" customFormat="false" ht="15" hidden="false" customHeight="false" outlineLevel="0" collapsed="false">
      <c r="A10" s="4" t="s">
        <v>699</v>
      </c>
      <c r="B10" s="4" t="s">
        <v>700</v>
      </c>
      <c r="C10" s="4" t="s">
        <v>690</v>
      </c>
      <c r="D10" s="4" t="s">
        <v>696</v>
      </c>
      <c r="E10" s="22" t="n">
        <v>32.57</v>
      </c>
      <c r="F10" s="24" t="n">
        <v>335.33</v>
      </c>
      <c r="G10" s="24" t="n">
        <v>269.18</v>
      </c>
      <c r="H10" s="25" t="n">
        <f aca="false">F10/E10</f>
        <v>10.2956708627571</v>
      </c>
      <c r="I10" s="25" t="n">
        <f aca="false">G10/E10</f>
        <v>8.26466073073381</v>
      </c>
      <c r="J10" s="36" t="n">
        <v>1.86</v>
      </c>
      <c r="K10" s="81" t="n">
        <v>5.68</v>
      </c>
      <c r="L10" s="81" t="n">
        <v>8.21</v>
      </c>
      <c r="M10" s="81" t="n">
        <v>6.5</v>
      </c>
      <c r="N10" s="36" t="n">
        <v>1.16</v>
      </c>
      <c r="O10" s="31" t="n">
        <v>0.0293</v>
      </c>
      <c r="P10" s="31" t="n">
        <v>0.1549</v>
      </c>
      <c r="Q10" s="31" t="n">
        <v>0.307</v>
      </c>
      <c r="R10" s="31" t="n">
        <v>0.0578</v>
      </c>
      <c r="S10" s="31" t="n">
        <v>0.0064</v>
      </c>
    </row>
    <row r="11" customFormat="false" ht="15" hidden="false" customHeight="false" outlineLevel="0" collapsed="false">
      <c r="A11" s="4" t="s">
        <v>701</v>
      </c>
      <c r="B11" s="4" t="s">
        <v>702</v>
      </c>
      <c r="C11" s="4" t="s">
        <v>690</v>
      </c>
      <c r="D11" s="4" t="s">
        <v>703</v>
      </c>
      <c r="E11" s="22" t="n">
        <v>1325.4</v>
      </c>
      <c r="F11" s="24" t="n">
        <v>21360</v>
      </c>
      <c r="G11" s="24" t="n">
        <v>14820</v>
      </c>
      <c r="H11" s="25" t="n">
        <f aca="false">F11/E11</f>
        <v>16.1158895427795</v>
      </c>
      <c r="I11" s="25" t="n">
        <f aca="false">G11/E11</f>
        <v>11.1815301041195</v>
      </c>
      <c r="J11" s="36" t="n">
        <v>1.29</v>
      </c>
      <c r="K11" s="81" t="n">
        <v>5.73</v>
      </c>
      <c r="L11" s="81" t="n">
        <v>15.19</v>
      </c>
      <c r="M11" s="81" t="n">
        <v>12.02</v>
      </c>
      <c r="N11" s="36" t="n">
        <v>0.74</v>
      </c>
      <c r="O11" s="31" t="n">
        <v>0.0309</v>
      </c>
      <c r="P11" s="31" t="n">
        <v>0.052</v>
      </c>
      <c r="Q11" s="31" t="n">
        <v>0.2177</v>
      </c>
      <c r="R11" s="31" t="n">
        <v>0.023</v>
      </c>
      <c r="S11" s="31" t="n">
        <v>-0.1306</v>
      </c>
    </row>
    <row r="12" customFormat="false" ht="15" hidden="false" customHeight="false" outlineLevel="0" collapsed="false">
      <c r="A12" s="4" t="s">
        <v>704</v>
      </c>
      <c r="B12" s="4" t="s">
        <v>705</v>
      </c>
      <c r="C12" s="4" t="s">
        <v>690</v>
      </c>
      <c r="D12" s="4" t="s">
        <v>691</v>
      </c>
      <c r="E12" s="22" t="n">
        <v>7.8413</v>
      </c>
      <c r="F12" s="24" t="n">
        <v>20.5</v>
      </c>
      <c r="G12" s="24" t="n">
        <v>17.42</v>
      </c>
      <c r="H12" s="25" t="n">
        <f aca="false">F12/E12</f>
        <v>2.61436241439557</v>
      </c>
      <c r="I12" s="25" t="n">
        <f aca="false">G12/E12</f>
        <v>2.22157040286687</v>
      </c>
      <c r="J12" s="36" t="n">
        <v>1.7</v>
      </c>
      <c r="K12" s="81" t="n">
        <v>4.34</v>
      </c>
      <c r="L12" s="81" t="n">
        <v>7.01</v>
      </c>
      <c r="M12" s="81" t="n">
        <v>6.16</v>
      </c>
      <c r="N12" s="36" t="n">
        <v>1.2</v>
      </c>
      <c r="O12" s="31" t="n">
        <v>0.0892</v>
      </c>
      <c r="P12" s="31" t="n">
        <v>0.1789</v>
      </c>
      <c r="Q12" s="31" t="n">
        <v>0.3419</v>
      </c>
      <c r="R12" s="31" t="n">
        <v>0.0556</v>
      </c>
      <c r="S12" s="31" t="n">
        <v>0.0675</v>
      </c>
    </row>
    <row r="13" customFormat="false" ht="15" hidden="false" customHeight="false" outlineLevel="0" collapsed="false">
      <c r="A13" s="4" t="s">
        <v>706</v>
      </c>
      <c r="B13" s="4" t="s">
        <v>707</v>
      </c>
      <c r="C13" s="4" t="s">
        <v>690</v>
      </c>
      <c r="D13" s="4" t="s">
        <v>708</v>
      </c>
      <c r="E13" s="22" t="n">
        <v>33.74</v>
      </c>
      <c r="F13" s="24" t="n">
        <v>39.16</v>
      </c>
      <c r="G13" s="24" t="n">
        <v>37.29</v>
      </c>
      <c r="H13" s="25" t="n">
        <f aca="false">F13/E13</f>
        <v>1.16064018968583</v>
      </c>
      <c r="I13" s="25" t="n">
        <f aca="false">G13/E13</f>
        <v>1.10521636040308</v>
      </c>
      <c r="J13" s="36" t="n">
        <v>1</v>
      </c>
      <c r="K13" s="81" t="n">
        <v>3.06</v>
      </c>
      <c r="L13" s="81" t="n">
        <v>5.05</v>
      </c>
      <c r="M13" s="82" t="s">
        <v>709</v>
      </c>
      <c r="N13" s="36" t="n">
        <v>0.67</v>
      </c>
      <c r="O13" s="31" t="n">
        <v>0.0529</v>
      </c>
      <c r="P13" s="31" t="n">
        <v>0.1407</v>
      </c>
      <c r="Q13" s="31" t="n">
        <v>0.3106</v>
      </c>
      <c r="R13" s="82" t="s">
        <v>709</v>
      </c>
      <c r="S13" s="82" t="s">
        <v>709</v>
      </c>
    </row>
    <row r="14" customFormat="false" ht="15" hidden="false" customHeight="false" outlineLevel="0" collapsed="false">
      <c r="A14" s="4" t="s">
        <v>710</v>
      </c>
      <c r="B14" s="4" t="s">
        <v>711</v>
      </c>
      <c r="C14" s="4" t="s">
        <v>712</v>
      </c>
      <c r="D14" s="4" t="s">
        <v>713</v>
      </c>
      <c r="E14" s="22" t="n">
        <v>6.6714</v>
      </c>
      <c r="F14" s="24" t="n">
        <v>324.19</v>
      </c>
      <c r="G14" s="24" t="n">
        <v>324.95</v>
      </c>
      <c r="H14" s="25" t="n">
        <f aca="false">F14/E14</f>
        <v>48.5939982612345</v>
      </c>
      <c r="I14" s="25" t="n">
        <f aca="false">G14/E14</f>
        <v>48.7079173786612</v>
      </c>
      <c r="J14" s="36" t="n">
        <v>0.88</v>
      </c>
      <c r="K14" s="81" t="n">
        <v>5.09</v>
      </c>
      <c r="L14" s="81" t="n">
        <v>22.62</v>
      </c>
      <c r="M14" s="81" t="n">
        <v>9.7</v>
      </c>
      <c r="N14" s="36" t="n">
        <v>0.88</v>
      </c>
      <c r="O14" s="31" t="n">
        <v>0.021</v>
      </c>
      <c r="P14" s="31" t="n">
        <v>0.0437</v>
      </c>
      <c r="Q14" s="31" t="n">
        <v>0.1049</v>
      </c>
      <c r="R14" s="31" t="n">
        <v>0.0232</v>
      </c>
      <c r="S14" s="31" t="n">
        <v>-0.2085</v>
      </c>
    </row>
    <row r="15" customFormat="false" ht="15" hidden="false" customHeight="false" outlineLevel="0" collapsed="false">
      <c r="A15" s="4" t="s">
        <v>714</v>
      </c>
      <c r="B15" s="4" t="s">
        <v>715</v>
      </c>
      <c r="C15" s="4" t="s">
        <v>712</v>
      </c>
      <c r="D15" s="4" t="s">
        <v>716</v>
      </c>
      <c r="E15" s="22" t="n">
        <v>0.892538379150303</v>
      </c>
      <c r="F15" s="24" t="n">
        <v>22.57</v>
      </c>
      <c r="G15" s="24" t="n">
        <v>24.38</v>
      </c>
      <c r="H15" s="25" t="n">
        <f aca="false">F15/E15</f>
        <v>25.287428</v>
      </c>
      <c r="I15" s="25" t="n">
        <f aca="false">G15/E15</f>
        <v>27.315352</v>
      </c>
      <c r="J15" s="36" t="n">
        <v>1.34</v>
      </c>
      <c r="K15" s="81" t="n">
        <v>9.72</v>
      </c>
      <c r="L15" s="81" t="n">
        <v>389.19</v>
      </c>
      <c r="M15" s="81" t="n">
        <v>23.95</v>
      </c>
      <c r="N15" s="36" t="n">
        <v>1.24</v>
      </c>
      <c r="O15" s="31" t="n">
        <v>0.0234</v>
      </c>
      <c r="P15" s="31" t="n">
        <v>0.0038</v>
      </c>
      <c r="Q15" s="31" t="n">
        <v>0.0724</v>
      </c>
      <c r="R15" s="31" t="n">
        <v>0.0149</v>
      </c>
      <c r="S15" s="82" t="s">
        <v>709</v>
      </c>
    </row>
    <row r="16" customFormat="false" ht="15" hidden="false" customHeight="false" outlineLevel="0" collapsed="false">
      <c r="A16" s="4" t="s">
        <v>717</v>
      </c>
      <c r="B16" s="4" t="s">
        <v>718</v>
      </c>
      <c r="C16" s="4" t="s">
        <v>712</v>
      </c>
      <c r="D16" s="4" t="s">
        <v>719</v>
      </c>
      <c r="E16" s="22" t="n">
        <v>1</v>
      </c>
      <c r="F16" s="24" t="n">
        <v>3.54</v>
      </c>
      <c r="G16" s="24" t="n">
        <v>7.21</v>
      </c>
      <c r="H16" s="25" t="n">
        <f aca="false">F16/E16</f>
        <v>3.54</v>
      </c>
      <c r="I16" s="25" t="n">
        <f aca="false">G16/E16</f>
        <v>7.21</v>
      </c>
      <c r="J16" s="36" t="n">
        <v>1.12</v>
      </c>
      <c r="K16" s="81" t="n">
        <v>15.45</v>
      </c>
      <c r="L16" s="81" t="n">
        <v>25.52</v>
      </c>
      <c r="M16" s="81" t="n">
        <v>3.22</v>
      </c>
      <c r="N16" s="36" t="n">
        <v>0.91</v>
      </c>
      <c r="O16" s="31" t="n">
        <v>0.0406</v>
      </c>
      <c r="P16" s="31" t="n">
        <v>0.0358</v>
      </c>
      <c r="Q16" s="31" t="n">
        <v>0.0725</v>
      </c>
      <c r="R16" s="31" t="n">
        <v>-0.0376</v>
      </c>
      <c r="S16" s="82" t="s">
        <v>709</v>
      </c>
    </row>
    <row r="17" customFormat="false" ht="15" hidden="false" customHeight="false" outlineLevel="0" collapsed="false">
      <c r="A17" s="4" t="s">
        <v>720</v>
      </c>
      <c r="B17" s="4" t="s">
        <v>721</v>
      </c>
      <c r="C17" s="4" t="s">
        <v>712</v>
      </c>
      <c r="D17" s="4" t="s">
        <v>719</v>
      </c>
      <c r="E17" s="22" t="n">
        <v>1</v>
      </c>
      <c r="F17" s="24" t="n">
        <v>6.84</v>
      </c>
      <c r="G17" s="24" t="n">
        <v>7.43</v>
      </c>
      <c r="H17" s="25" t="n">
        <f aca="false">F17/E17</f>
        <v>6.84</v>
      </c>
      <c r="I17" s="25" t="n">
        <f aca="false">G17/E17</f>
        <v>7.43</v>
      </c>
      <c r="J17" s="36" t="n">
        <v>2.15</v>
      </c>
      <c r="K17" s="81" t="n">
        <v>11.02</v>
      </c>
      <c r="L17" s="81" t="n">
        <v>15.31</v>
      </c>
      <c r="M17" s="81" t="n">
        <v>12.7</v>
      </c>
      <c r="N17" s="36" t="n">
        <v>2.47</v>
      </c>
      <c r="O17" s="31" t="n">
        <v>0.0066</v>
      </c>
      <c r="P17" s="31" t="n">
        <v>0.1721</v>
      </c>
      <c r="Q17" s="31" t="n">
        <v>0.195</v>
      </c>
      <c r="R17" s="31" t="n">
        <v>0.0497</v>
      </c>
      <c r="S17" s="31" t="n">
        <v>0.0849</v>
      </c>
    </row>
    <row r="19" customFormat="false" ht="15" hidden="false" customHeight="false" outlineLevel="0" collapsed="false">
      <c r="A19" s="19" t="s">
        <v>722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</row>
    <row r="20" customFormat="false" ht="15" hidden="false" customHeight="false" outlineLevel="0" collapsed="false">
      <c r="A20" s="13" t="s">
        <v>723</v>
      </c>
      <c r="H20" s="25" t="n">
        <f aca="false">MAX(H6:H17)</f>
        <v>48.5939982612345</v>
      </c>
      <c r="I20" s="25" t="n">
        <f aca="false">MAX(I6:I17)</f>
        <v>48.7079173786612</v>
      </c>
      <c r="J20" s="67" t="n">
        <f aca="false">MAX(J6:J17)</f>
        <v>2.15</v>
      </c>
      <c r="K20" s="8" t="n">
        <f aca="false">MAX(K6:K17)</f>
        <v>15.45</v>
      </c>
      <c r="L20" s="8" t="n">
        <f aca="false">MAX(L6:L17)</f>
        <v>389.19</v>
      </c>
      <c r="M20" s="8" t="n">
        <f aca="false">MAX(M6:M17)</f>
        <v>23.95</v>
      </c>
      <c r="N20" s="67" t="n">
        <f aca="false">MAX(N6:N17)</f>
        <v>2.47</v>
      </c>
      <c r="O20" s="9" t="n">
        <f aca="false">MAX(O6:O17)</f>
        <v>0.0892</v>
      </c>
      <c r="P20" s="9" t="n">
        <f aca="false">MAX(P6:P17)</f>
        <v>0.1789</v>
      </c>
      <c r="Q20" s="9" t="n">
        <f aca="false">MAX(Q6:Q17)</f>
        <v>0.3419</v>
      </c>
      <c r="R20" s="9" t="n">
        <f aca="false">MAX(R6:R17)</f>
        <v>0.0578</v>
      </c>
      <c r="S20" s="9" t="n">
        <f aca="false">MAX(S6:S17)</f>
        <v>0.0849</v>
      </c>
    </row>
    <row r="21" customFormat="false" ht="15" hidden="false" customHeight="false" outlineLevel="0" collapsed="false">
      <c r="A21" s="13" t="s">
        <v>724</v>
      </c>
      <c r="H21" s="25" t="n">
        <f aca="false">QUARTILE(H6:H17,3)</f>
        <v>19.2841689435063</v>
      </c>
      <c r="I21" s="25" t="n">
        <f aca="false">QUARTILE(I6:I17,3)</f>
        <v>20.5489792342647</v>
      </c>
      <c r="J21" s="67" t="n">
        <f aca="false">QUARTILE(J6:J17,3)</f>
        <v>1.6175</v>
      </c>
      <c r="K21" s="8" t="n">
        <f aca="false">QUARTILE(K6:K17,3)</f>
        <v>6.7275</v>
      </c>
      <c r="L21" s="8" t="n">
        <f aca="false">QUARTILE(L6:L17,3)</f>
        <v>17.1375</v>
      </c>
      <c r="M21" s="8" t="n">
        <f aca="false">QUARTILE(M6:M17,3)</f>
        <v>10.86</v>
      </c>
      <c r="N21" s="67" t="n">
        <f aca="false">QUARTILE(N6:N17,3)</f>
        <v>1.17</v>
      </c>
      <c r="O21" s="9" t="n">
        <f aca="false">QUARTILE(O6:O17,3)</f>
        <v>0.06</v>
      </c>
      <c r="P21" s="9" t="n">
        <f aca="false">QUARTILE(P6:P17,3)</f>
        <v>0.14425</v>
      </c>
      <c r="Q21" s="9" t="n">
        <f aca="false">QUARTILE(Q6:Q17,3)</f>
        <v>0.252475</v>
      </c>
      <c r="R21" s="9" t="n">
        <f aca="false">QUARTILE(R6:R17,3)</f>
        <v>0.04365</v>
      </c>
      <c r="S21" s="9" t="n">
        <f aca="false">QUARTILE(S6:S17,3)</f>
        <v>0.0064</v>
      </c>
    </row>
    <row r="22" customFormat="false" ht="15" hidden="false" customHeight="false" outlineLevel="0" collapsed="false">
      <c r="A22" s="13" t="s">
        <v>725</v>
      </c>
      <c r="H22" s="72" t="n">
        <f aca="false">MEDIAN(H6:H17)</f>
        <v>11.4765054223239</v>
      </c>
      <c r="I22" s="72" t="n">
        <f aca="false">MEDIAN(I6:I17)</f>
        <v>8.19415684822051</v>
      </c>
      <c r="J22" s="83" t="n">
        <f aca="false">MEDIAN(J6:J17)</f>
        <v>1.205</v>
      </c>
      <c r="K22" s="84" t="n">
        <f aca="false">MEDIAN(K6:K17)</f>
        <v>5.345</v>
      </c>
      <c r="L22" s="84" t="n">
        <f aca="false">MEDIAN(L6:L17)</f>
        <v>12.13</v>
      </c>
      <c r="M22" s="84" t="n">
        <f aca="false">MEDIAN(M6:M17)</f>
        <v>7.8</v>
      </c>
      <c r="N22" s="83" t="n">
        <f aca="false">MEDIAN(N6:N17)</f>
        <v>0.91</v>
      </c>
      <c r="O22" s="74" t="n">
        <f aca="false">MEDIAN(O6:O17)</f>
        <v>0.03645</v>
      </c>
      <c r="P22" s="74" t="n">
        <f aca="false">MEDIAN(P6:P17)</f>
        <v>0.09825</v>
      </c>
      <c r="Q22" s="74" t="n">
        <f aca="false">MEDIAN(Q6:Q17)</f>
        <v>0.1883</v>
      </c>
      <c r="R22" s="74" t="n">
        <f aca="false">MEDIAN(R6:R17)</f>
        <v>0.0232</v>
      </c>
      <c r="S22" s="74" t="n">
        <f aca="false">MEDIAN(S6:S17)</f>
        <v>-0.1306</v>
      </c>
    </row>
    <row r="23" customFormat="false" ht="15" hidden="false" customHeight="false" outlineLevel="0" collapsed="false">
      <c r="A23" s="13" t="s">
        <v>726</v>
      </c>
      <c r="H23" s="25" t="n">
        <f aca="false">QUARTILE(H6:H17,1)</f>
        <v>5.86258673626036</v>
      </c>
      <c r="I23" s="25" t="n">
        <f aca="false">QUARTILE(I6:I17,1)</f>
        <v>6.22236030089039</v>
      </c>
      <c r="J23" s="67" t="n">
        <f aca="false">QUARTILE(J6:J17,1)</f>
        <v>0.955</v>
      </c>
      <c r="K23" s="8" t="n">
        <f aca="false">QUARTILE(K6:K17,1)</f>
        <v>4.1875</v>
      </c>
      <c r="L23" s="8" t="n">
        <f aca="false">QUARTILE(L6:L17,1)</f>
        <v>8.1525</v>
      </c>
      <c r="M23" s="8" t="n">
        <f aca="false">QUARTILE(M6:M17,1)</f>
        <v>6.33</v>
      </c>
      <c r="N23" s="67" t="n">
        <f aca="false">QUARTILE(N6:N17,1)</f>
        <v>0.8075</v>
      </c>
      <c r="O23" s="9" t="n">
        <f aca="false">QUARTILE(O6:O17,1)</f>
        <v>0.027825</v>
      </c>
      <c r="P23" s="9" t="n">
        <f aca="false">QUARTILE(P6:P17,1)</f>
        <v>0.04805</v>
      </c>
      <c r="Q23" s="9" t="n">
        <f aca="false">QUARTILE(Q6:Q17,1)</f>
        <v>0.113525</v>
      </c>
      <c r="R23" s="9" t="n">
        <f aca="false">QUARTILE(R6:R17,1)</f>
        <v>0.02065</v>
      </c>
      <c r="S23" s="9" t="n">
        <f aca="false">QUARTILE(S6:S17,1)</f>
        <v>-0.1944</v>
      </c>
    </row>
    <row r="24" customFormat="false" ht="15" hidden="false" customHeight="false" outlineLevel="0" collapsed="false">
      <c r="A24" s="13" t="s">
        <v>727</v>
      </c>
      <c r="H24" s="25" t="n">
        <f aca="false">MIN(H6:H17)</f>
        <v>1.16064018968583</v>
      </c>
      <c r="I24" s="25" t="n">
        <f aca="false">MIN(I6:I17)</f>
        <v>1.10521636040308</v>
      </c>
      <c r="J24" s="67" t="n">
        <f aca="false">MIN(J6:J17)</f>
        <v>0.65</v>
      </c>
      <c r="K24" s="8" t="n">
        <f aca="false">MIN(K6:K17)</f>
        <v>3.06</v>
      </c>
      <c r="L24" s="8" t="n">
        <f aca="false">MIN(L6:L17)</f>
        <v>5.05</v>
      </c>
      <c r="M24" s="8" t="n">
        <f aca="false">MIN(M6:M17)</f>
        <v>3.22</v>
      </c>
      <c r="N24" s="67" t="n">
        <f aca="false">MIN(N6:N17)</f>
        <v>0.66</v>
      </c>
      <c r="O24" s="9" t="n">
        <f aca="false">MIN(O6:O17)</f>
        <v>0.0066</v>
      </c>
      <c r="P24" s="9" t="n">
        <f aca="false">MIN(P6:P17)</f>
        <v>0.0038</v>
      </c>
      <c r="Q24" s="9" t="n">
        <f aca="false">MIN(Q6:Q17)</f>
        <v>0.0724</v>
      </c>
      <c r="R24" s="9" t="n">
        <f aca="false">MIN(R6:R17)</f>
        <v>-0.0376</v>
      </c>
      <c r="S24" s="9" t="n">
        <f aca="false">MIN(S6:S17)</f>
        <v>-0.3582</v>
      </c>
    </row>
    <row r="26" customFormat="false" ht="15" hidden="false" customHeight="false" outlineLevel="0" collapsed="false">
      <c r="A26" s="19" t="s">
        <v>728</v>
      </c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</row>
    <row r="27" customFormat="false" ht="15" hidden="false" customHeight="false" outlineLevel="0" collapsed="false">
      <c r="A27" s="48" t="s">
        <v>729</v>
      </c>
      <c r="B27" s="48" t="s">
        <v>730</v>
      </c>
      <c r="C27" s="48" t="s">
        <v>731</v>
      </c>
      <c r="D27" s="48" t="s">
        <v>691</v>
      </c>
      <c r="E27" s="85" t="n">
        <v>7.8413</v>
      </c>
      <c r="F27" s="49" t="n">
        <v>129.29</v>
      </c>
      <c r="G27" s="49" t="n">
        <v>124.17</v>
      </c>
      <c r="H27" s="50" t="n">
        <f aca="false">F27/E27</f>
        <v>16.4883373930343</v>
      </c>
      <c r="I27" s="50" t="n">
        <f aca="false">G27/E27</f>
        <v>15.8353844388048</v>
      </c>
      <c r="J27" s="86" t="n">
        <v>4.41</v>
      </c>
      <c r="K27" s="87" t="n">
        <v>11.1</v>
      </c>
      <c r="L27" s="87" t="n">
        <v>12.94</v>
      </c>
      <c r="M27" s="87" t="n">
        <v>11.69</v>
      </c>
      <c r="N27" s="86" t="n">
        <v>5.77</v>
      </c>
      <c r="O27" s="88" t="n">
        <v>0.0675</v>
      </c>
      <c r="P27" s="88" t="n">
        <v>0.4692</v>
      </c>
      <c r="Q27" s="88" t="n">
        <v>0.3677</v>
      </c>
      <c r="R27" s="88" t="n">
        <v>0.0393</v>
      </c>
      <c r="S27" s="88" t="n">
        <v>-0.0199</v>
      </c>
    </row>
    <row r="28" customFormat="false" ht="15" hidden="false" customHeight="false" outlineLevel="0" collapsed="false">
      <c r="A28" s="4" t="s">
        <v>732</v>
      </c>
      <c r="B28" s="4" t="s">
        <v>730</v>
      </c>
      <c r="C28" s="4" t="s">
        <v>733</v>
      </c>
      <c r="D28" s="4" t="s">
        <v>691</v>
      </c>
      <c r="E28" s="89" t="n">
        <f aca="false">Inputs!$C$7</f>
        <v>7.8413</v>
      </c>
      <c r="F28" s="25" t="n">
        <f aca="false">Inputs!$C$15/1000</f>
        <v>129.28566614944</v>
      </c>
      <c r="G28" s="25" t="n">
        <f aca="false">I28*E28</f>
        <v>121.641697528319</v>
      </c>
      <c r="H28" s="25" t="n">
        <f aca="false">F28/E28</f>
        <v>16.487784697619</v>
      </c>
      <c r="I28" s="25" t="n">
        <f aca="false">(Inputs!$C$16-'Balance Sheet'!H53-'DCF Inputs'!H22+'Balance Sheet'!H45)/1000</f>
        <v>15.5129503434786</v>
      </c>
      <c r="J28" s="67" t="n">
        <f aca="false">I28*1000/'Income Statement'!H9</f>
        <v>3.98346944679885</v>
      </c>
      <c r="K28" s="8" t="n">
        <f aca="false">I28*1000/'Income Statement'!H39</f>
        <v>9.49762728387274</v>
      </c>
      <c r="L28" s="90"/>
      <c r="M28" s="8" t="n">
        <f aca="false">Inputs!$C$6/'Income Statement'!H59</f>
        <v>11.1751313775257</v>
      </c>
      <c r="N28" s="67" t="n">
        <f aca="false">Inputs!$C$6/'Balance Sheet'!H56</f>
        <v>5.96982169749329</v>
      </c>
      <c r="O28" s="9" t="n">
        <f aca="false">'Income Statement'!H60/Inputs!$C$6</f>
        <v>0.0759066717863318</v>
      </c>
      <c r="P28" s="11" t="n">
        <f aca="false">'Balance Sheet'!H55</f>
        <v>0.561939331774929</v>
      </c>
      <c r="Q28" s="11" t="n">
        <f aca="false">'Income Statement'!H40</f>
        <v>0.419417326847823</v>
      </c>
      <c r="R28" s="90"/>
      <c r="S28" s="90"/>
      <c r="T28" s="17" t="s">
        <v>734</v>
      </c>
    </row>
    <row r="29" customFormat="false" ht="15" hidden="false" customHeight="false" outlineLevel="0" collapsed="false">
      <c r="A29" s="4" t="s">
        <v>735</v>
      </c>
      <c r="B29" s="4" t="s">
        <v>730</v>
      </c>
      <c r="C29" s="4" t="s">
        <v>733</v>
      </c>
      <c r="D29" s="4" t="s">
        <v>691</v>
      </c>
      <c r="E29" s="89" t="n">
        <f aca="false">Inputs!$C$7</f>
        <v>7.8413</v>
      </c>
      <c r="F29" s="25" t="n">
        <f aca="false">Inputs!$C$15/1000</f>
        <v>129.28566614944</v>
      </c>
      <c r="G29" s="25" t="n">
        <f aca="false">I29*E29</f>
        <v>121.378436337289</v>
      </c>
      <c r="H29" s="25" t="n">
        <f aca="false">F29/E29</f>
        <v>16.487784697619</v>
      </c>
      <c r="I29" s="25" t="n">
        <f aca="false">(Inputs!$C$16-'Balance Sheet'!I53-'DCF Inputs'!I22+'Balance Sheet'!I45)/1000</f>
        <v>15.479376676991</v>
      </c>
      <c r="J29" s="67" t="n">
        <f aca="false">I29*1000/'Income Statement'!I9</f>
        <v>4.1535879664057</v>
      </c>
      <c r="K29" s="8" t="n">
        <f aca="false">I29*1000/'Income Statement'!I39</f>
        <v>11.582650141534</v>
      </c>
      <c r="L29" s="90"/>
      <c r="M29" s="8" t="n">
        <f aca="false">Inputs!$C$6/'Income Statement'!I59</f>
        <v>13.9379022060563</v>
      </c>
      <c r="N29" s="67" t="n">
        <f aca="false">Inputs!$C$6/'Balance Sheet'!I56</f>
        <v>5.3919034339572</v>
      </c>
      <c r="O29" s="9" t="n">
        <f aca="false">'Income Statement'!I60/Inputs!$C$6</f>
        <v>0.0574497689702057</v>
      </c>
      <c r="P29" s="11" t="n">
        <f aca="false">'Balance Sheet'!I55</f>
        <v>0.406899805778363</v>
      </c>
      <c r="Q29" s="11" t="n">
        <f aca="false">'Income Statement'!I40</f>
        <v>0.358604284481617</v>
      </c>
      <c r="R29" s="90"/>
      <c r="S29" s="90"/>
    </row>
    <row r="31" customFormat="false" ht="15" hidden="false" customHeight="false" outlineLevel="0" collapsed="false">
      <c r="A31" s="19" t="s">
        <v>736</v>
      </c>
      <c r="B31" s="19" t="s">
        <v>737</v>
      </c>
      <c r="C31" s="19" t="s">
        <v>738</v>
      </c>
      <c r="D31" s="19" t="s">
        <v>739</v>
      </c>
      <c r="E31" s="19" t="s">
        <v>740</v>
      </c>
      <c r="F31" s="19" t="s">
        <v>741</v>
      </c>
      <c r="G31" s="19" t="s">
        <v>742</v>
      </c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</row>
    <row r="32" customFormat="false" ht="15" hidden="false" customHeight="false" outlineLevel="0" collapsed="false">
      <c r="A32" s="4" t="s">
        <v>743</v>
      </c>
      <c r="B32" s="17" t="s">
        <v>744</v>
      </c>
      <c r="C32" s="67" t="n">
        <f aca="false">M22</f>
        <v>7.8</v>
      </c>
      <c r="D32" s="17" t="s">
        <v>745</v>
      </c>
      <c r="E32" s="6" t="n">
        <f aca="false">'Income Statement'!I59</f>
        <v>3.4208878276734</v>
      </c>
      <c r="F32" s="91" t="n">
        <f aca="false">C32*E32</f>
        <v>26.6829250558525</v>
      </c>
      <c r="G32" s="9" t="n">
        <f aca="false">F32/Inputs!$C$6-1</f>
        <v>-0.440374893962826</v>
      </c>
    </row>
    <row r="33" customFormat="false" ht="15" hidden="false" customHeight="false" outlineLevel="0" collapsed="false">
      <c r="A33" s="4" t="s">
        <v>743</v>
      </c>
      <c r="B33" s="17" t="s">
        <v>746</v>
      </c>
      <c r="C33" s="67" t="n">
        <f aca="false">M21</f>
        <v>10.86</v>
      </c>
      <c r="D33" s="17" t="s">
        <v>745</v>
      </c>
      <c r="E33" s="6" t="n">
        <f aca="false">'Income Statement'!I59</f>
        <v>3.4208878276734</v>
      </c>
      <c r="F33" s="91" t="n">
        <f aca="false">C33*E33</f>
        <v>37.1508418085331</v>
      </c>
      <c r="G33" s="9" t="n">
        <f aca="false">F33/Inputs!$C$6-1</f>
        <v>-0.220829660055934</v>
      </c>
    </row>
    <row r="34" customFormat="false" ht="15" hidden="false" customHeight="false" outlineLevel="0" collapsed="false">
      <c r="A34" s="4" t="s">
        <v>747</v>
      </c>
      <c r="B34" s="17" t="s">
        <v>748</v>
      </c>
      <c r="C34" s="67" t="n">
        <f aca="false">K22</f>
        <v>5.345</v>
      </c>
      <c r="D34" s="17" t="s">
        <v>749</v>
      </c>
      <c r="E34" s="10" t="n">
        <f aca="false">'Income Statement'!H39</f>
        <v>1633.3500862705</v>
      </c>
      <c r="F34" s="91" t="n">
        <f aca="false">(C34*E34+('Balance Sheet'!H53+'DCF Inputs'!H22-'Balance Sheet'!H45))/Inputs!$C$14*Inputs!$C$7</f>
        <v>28.065548321858</v>
      </c>
      <c r="G34" s="9" t="n">
        <f aca="false">F34/Inputs!$C$6-1</f>
        <v>-0.411376922779823</v>
      </c>
    </row>
    <row r="35" customFormat="false" ht="15" hidden="false" customHeight="false" outlineLevel="0" collapsed="false">
      <c r="A35" s="4" t="s">
        <v>750</v>
      </c>
      <c r="B35" s="17" t="s">
        <v>751</v>
      </c>
      <c r="C35" s="67" t="n">
        <f aca="false">N22</f>
        <v>0.91</v>
      </c>
      <c r="D35" s="17" t="s">
        <v>752</v>
      </c>
      <c r="E35" s="6" t="n">
        <f aca="false">'Balance Sheet'!H56</f>
        <v>7.9868382032282</v>
      </c>
      <c r="F35" s="91" t="n">
        <f aca="false">C35*E35</f>
        <v>7.26802276493766</v>
      </c>
      <c r="G35" s="9" t="n">
        <f aca="false">F35/Inputs!$C$6-1</f>
        <v>-0.847566636641408</v>
      </c>
    </row>
    <row r="36" customFormat="false" ht="15" hidden="false" customHeight="false" outlineLevel="0" collapsed="false">
      <c r="A36" s="4" t="s">
        <v>753</v>
      </c>
      <c r="B36" s="17" t="s">
        <v>754</v>
      </c>
      <c r="C36" s="67" t="n">
        <f aca="false">N22*'Balance Sheet'!I55/P22</f>
        <v>3.76874120364693</v>
      </c>
      <c r="D36" s="17" t="s">
        <v>752</v>
      </c>
      <c r="E36" s="6" t="n">
        <f aca="false">'Balance Sheet'!H56</f>
        <v>7.9868382032282</v>
      </c>
      <c r="F36" s="91" t="n">
        <f aca="false">C36*E36</f>
        <v>30.1003262233675</v>
      </c>
      <c r="G36" s="9" t="n">
        <f aca="false">F36/Inputs!$C$6-1</f>
        <v>-0.368701211758232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4" min="2" style="0" width="12"/>
    <col collapsed="false" customWidth="true" hidden="false" outlineLevel="0" max="5" min="5" style="0" width="10"/>
    <col collapsed="false" customWidth="true" hidden="false" outlineLevel="0" max="7" min="6" style="0" width="12"/>
    <col collapsed="false" customWidth="true" hidden="false" outlineLevel="0" max="8" min="8" style="0" width="80"/>
  </cols>
  <sheetData>
    <row r="1" customFormat="false" ht="15" hidden="false" customHeight="false" outlineLevel="0" collapsed="false">
      <c r="A1" s="16" t="s">
        <v>755</v>
      </c>
    </row>
    <row r="2" customFormat="false" ht="15" hidden="false" customHeight="false" outlineLevel="0" collapsed="false">
      <c r="A2" s="17" t="s">
        <v>756</v>
      </c>
    </row>
    <row r="5" customFormat="false" ht="15" hidden="false" customHeight="false" outlineLevel="0" collapsed="false">
      <c r="A5" s="19" t="s">
        <v>757</v>
      </c>
      <c r="B5" s="92" t="s">
        <v>758</v>
      </c>
      <c r="C5" s="92" t="s">
        <v>263</v>
      </c>
      <c r="D5" s="92" t="s">
        <v>759</v>
      </c>
      <c r="E5" s="92" t="s">
        <v>760</v>
      </c>
      <c r="F5" s="92" t="s">
        <v>761</v>
      </c>
      <c r="G5" s="92" t="s">
        <v>762</v>
      </c>
      <c r="H5" s="20"/>
    </row>
    <row r="6" customFormat="false" ht="15" hidden="false" customHeight="false" outlineLevel="0" collapsed="false">
      <c r="A6" s="4" t="s">
        <v>763</v>
      </c>
      <c r="B6" s="27" t="n">
        <f aca="false">(SUMPRODUCT(DCF!$D$31:$G$31/(1+(DCF!$C$15+(0.01)))^(DCF!$D$20:$G$20-0.5))+DCF!$G$31*(1+(DCF!$C$16+(-0.005)))/((DCF!$C$15+(0.01))-(DCF!$C$16+(-0.005)))/(1+(DCF!$C$15+(0.01)))^DCF!$G$20+DCF!$C$47+DCF!$C$48+DCF!$C$49)/Inputs!$C$14*Inputs!$C$7</f>
        <v>31.3441878756874</v>
      </c>
      <c r="C6" s="93" t="n">
        <f aca="false">DCF!$C$53</f>
        <v>36.2218024309965</v>
      </c>
      <c r="D6" s="27" t="n">
        <f aca="false">(SUMPRODUCT(DCF!$D$31:$G$31/(1+(DCF!$C$15+(-0.01)))^(DCF!$D$20:$G$20-0.5))+DCF!$G$31*(1+(DCF!$C$16+(0.005)))/((DCF!$C$15+(-0.01))-(DCF!$C$16+(0.005)))/(1+(DCF!$C$15+(-0.01)))^DCF!$G$20+DCF!$C$47+DCF!$C$48+DCF!$C$49)/Inputs!$C$14*Inputs!$C$7</f>
        <v>43.314517292083</v>
      </c>
      <c r="E6" s="31" t="n">
        <v>0.6</v>
      </c>
      <c r="F6" s="27" t="n">
        <f aca="false">C6*E6</f>
        <v>21.7330814585979</v>
      </c>
      <c r="G6" s="9" t="n">
        <f aca="false">C6/Inputs!$C$6-1</f>
        <v>-0.240314546329772</v>
      </c>
      <c r="H6" s="17" t="s">
        <v>764</v>
      </c>
    </row>
    <row r="7" customFormat="false" ht="15" hidden="false" customHeight="false" outlineLevel="0" collapsed="false">
      <c r="A7" s="4" t="s">
        <v>765</v>
      </c>
      <c r="B7" s="6" t="n">
        <f aca="false">Comps!$F$32</f>
        <v>26.6829250558525</v>
      </c>
      <c r="C7" s="93" t="n">
        <f aca="false">Comps!$F$33</f>
        <v>37.1508418085331</v>
      </c>
      <c r="D7" s="27" t="n">
        <f aca="false">13*'Income Statement'!I59</f>
        <v>44.4715417597541</v>
      </c>
      <c r="E7" s="31" t="n">
        <v>0.4</v>
      </c>
      <c r="F7" s="27" t="n">
        <f aca="false">C7*E7</f>
        <v>14.8603367234132</v>
      </c>
      <c r="G7" s="9" t="n">
        <f aca="false">C7/Inputs!$C$6-1</f>
        <v>-0.220829660055934</v>
      </c>
      <c r="H7" s="17" t="s">
        <v>766</v>
      </c>
    </row>
    <row r="8" customFormat="false" ht="15" hidden="false" customHeight="false" outlineLevel="0" collapsed="false">
      <c r="A8" s="13" t="s">
        <v>767</v>
      </c>
      <c r="B8" s="94" t="n">
        <f aca="false">SUMPRODUCT(B6:B7,$E6:$E7)</f>
        <v>29.4796827477534</v>
      </c>
      <c r="C8" s="94" t="n">
        <f aca="false">F6+F7</f>
        <v>36.5934181820111</v>
      </c>
      <c r="D8" s="94" t="n">
        <f aca="false">SUMPRODUCT(D6:D7,$E6:$E7)</f>
        <v>43.7773270791515</v>
      </c>
      <c r="E8" s="95" t="n">
        <f aca="false">E6+E7</f>
        <v>1</v>
      </c>
      <c r="F8" s="94" t="n">
        <f aca="false">C8</f>
        <v>36.5934181820111</v>
      </c>
      <c r="G8" s="95" t="n">
        <f aca="false">C8/Inputs!$C$6-1</f>
        <v>-0.232520591820237</v>
      </c>
    </row>
    <row r="10" customFormat="false" ht="15" hidden="false" customHeight="false" outlineLevel="0" collapsed="false">
      <c r="A10" s="19" t="s">
        <v>768</v>
      </c>
      <c r="B10" s="92" t="s">
        <v>758</v>
      </c>
      <c r="C10" s="92" t="s">
        <v>263</v>
      </c>
      <c r="D10" s="92" t="s">
        <v>759</v>
      </c>
      <c r="E10" s="20"/>
      <c r="F10" s="20"/>
      <c r="G10" s="20"/>
      <c r="H10" s="20"/>
    </row>
    <row r="11" customFormat="false" ht="15" hidden="false" customHeight="false" outlineLevel="0" collapsed="false">
      <c r="A11" s="4" t="s">
        <v>769</v>
      </c>
      <c r="B11" s="27" t="n">
        <f aca="false">('Income Statement'!I60/(1+DCF!$C$11+(0.01))^1+'Income Statement'!J60/(1+DCF!$C$11+(0.01))^2+'Income Statement'!K60/(1+DCF!$C$11+(0.01))^3+('Income Statement'!L60+'Income Statement'!L60*(1+DCF!$C$16)/(DCF!$C$11+(0.01)-DCF!$C$16))/(1+DCF!$C$11+(0.01))^4+'Cash Flow'!H49/Inputs!$C$14*Inputs!$C$7/(1+DCF!$C$11+(0.01))^0.5)</f>
        <v>28.1287115726248</v>
      </c>
      <c r="C11" s="27" t="n">
        <f aca="false">('Income Statement'!I60/(1+DCF!$C$11+(0))^1+'Income Statement'!J60/(1+DCF!$C$11+(0))^2+'Income Statement'!K60/(1+DCF!$C$11+(0))^3+('Income Statement'!L60+'Income Statement'!L60*(1+DCF!$C$16)/(DCF!$C$11+(0)-DCF!$C$16))/(1+DCF!$C$11+(0))^4+'Cash Flow'!H49/Inputs!$C$14*Inputs!$C$7/(1+DCF!$C$11+(0))^0.5)</f>
        <v>31.4578381631336</v>
      </c>
      <c r="D11" s="27" t="n">
        <f aca="false">('Income Statement'!I60/(1+DCF!$C$11+(-0.01))^1+'Income Statement'!J60/(1+DCF!$C$11+(-0.01))^2+'Income Statement'!K60/(1+DCF!$C$11+(-0.01))^3+('Income Statement'!L60+'Income Statement'!L60*(1+DCF!$C$16)/(DCF!$C$11+(-0.01)-DCF!$C$16))/(1+DCF!$C$11+(-0.01))^4+'Cash Flow'!H49/Inputs!$C$14*Inputs!$C$7/(1+DCF!$C$11+(-0.01))^0.5)</f>
        <v>35.7234938326423</v>
      </c>
      <c r="G11" s="9" t="n">
        <f aca="false">IF(C11="","",C11/Inputs!$C$6-1)</f>
        <v>-0.340229904296695</v>
      </c>
      <c r="H11" s="17" t="s">
        <v>770</v>
      </c>
    </row>
    <row r="12" customFormat="false" ht="15" hidden="false" customHeight="false" outlineLevel="0" collapsed="false">
      <c r="A12" s="4" t="s">
        <v>771</v>
      </c>
      <c r="C12" s="27" t="n">
        <f aca="false">('Balance Sheet'!I55-DCF!$C$16)/(DCF!$C$11-DCF!$C$16)*'Balance Sheet'!H56</f>
        <v>38.1471038776891</v>
      </c>
      <c r="G12" s="9" t="n">
        <f aca="false">IF(C12="","",C12/Inputs!$C$6-1)</f>
        <v>-0.199934901894105</v>
      </c>
      <c r="H12" s="17" t="s">
        <v>772</v>
      </c>
    </row>
    <row r="13" customFormat="false" ht="15" hidden="false" customHeight="false" outlineLevel="0" collapsed="false">
      <c r="A13" s="4" t="s">
        <v>773</v>
      </c>
      <c r="C13" s="6" t="n">
        <f aca="false">Comps!$F$34</f>
        <v>28.065548321858</v>
      </c>
      <c r="G13" s="9" t="n">
        <f aca="false">IF(C13="","",C13/Inputs!$C$6-1)</f>
        <v>-0.411376922779823</v>
      </c>
      <c r="H13" s="17" t="s">
        <v>774</v>
      </c>
    </row>
    <row r="14" customFormat="false" ht="15" hidden="false" customHeight="false" outlineLevel="0" collapsed="false">
      <c r="A14" s="4" t="s">
        <v>775</v>
      </c>
      <c r="B14" s="6" t="n">
        <f aca="false">Scenarios!E125</f>
        <v>16.1049435006338</v>
      </c>
      <c r="C14" s="6" t="n">
        <f aca="false">Scenarios!D125</f>
        <v>36.2218024309965</v>
      </c>
      <c r="D14" s="6" t="n">
        <f aca="false">Scenarios!C125</f>
        <v>59.4020455631703</v>
      </c>
      <c r="G14" s="9" t="n">
        <f aca="false">IF(C14="","",C14/Inputs!$C$6-1)</f>
        <v>-0.240314546329771</v>
      </c>
      <c r="H14" s="17" t="s">
        <v>776</v>
      </c>
    </row>
    <row r="15" customFormat="false" ht="15" hidden="false" customHeight="false" outlineLevel="0" collapsed="false">
      <c r="A15" s="4" t="s">
        <v>777</v>
      </c>
      <c r="B15" s="6" t="n">
        <f aca="false">Inputs!$C$9</f>
        <v>26.22</v>
      </c>
      <c r="D15" s="6" t="n">
        <f aca="false">Inputs!$C$8</f>
        <v>52</v>
      </c>
      <c r="G15" s="9"/>
      <c r="H15" s="17" t="s">
        <v>778</v>
      </c>
    </row>
    <row r="16" customFormat="false" ht="15" hidden="false" customHeight="false" outlineLevel="0" collapsed="false">
      <c r="A16" s="4" t="s">
        <v>779</v>
      </c>
      <c r="C16" s="21" t="n">
        <v>46.2</v>
      </c>
      <c r="G16" s="9" t="n">
        <f aca="false">IF(C16="","",C16/Inputs!$C$6-1)</f>
        <v>-0.0310402684563758</v>
      </c>
      <c r="H16" s="17" t="s">
        <v>780</v>
      </c>
    </row>
    <row r="18" customFormat="false" ht="15" hidden="false" customHeight="false" outlineLevel="0" collapsed="false">
      <c r="A18" s="19" t="s">
        <v>781</v>
      </c>
      <c r="B18" s="20"/>
      <c r="C18" s="20"/>
      <c r="D18" s="20"/>
      <c r="E18" s="20"/>
      <c r="F18" s="20"/>
      <c r="G18" s="20"/>
      <c r="H18" s="20"/>
    </row>
    <row r="19" customFormat="false" ht="15" hidden="false" customHeight="false" outlineLevel="0" collapsed="false">
      <c r="A19" s="4" t="s">
        <v>782</v>
      </c>
      <c r="C19" s="27" t="n">
        <f aca="false">C8</f>
        <v>36.5934181820111</v>
      </c>
    </row>
    <row r="20" customFormat="false" ht="15" hidden="false" customHeight="false" outlineLevel="0" collapsed="false">
      <c r="A20" s="13" t="s">
        <v>783</v>
      </c>
      <c r="C20" s="73" t="n">
        <f aca="false">ROUND(C19*2,0)/2</f>
        <v>36.5</v>
      </c>
    </row>
    <row r="21" customFormat="false" ht="15" hidden="false" customHeight="false" outlineLevel="0" collapsed="false">
      <c r="A21" s="4" t="s">
        <v>784</v>
      </c>
      <c r="C21" s="6" t="n">
        <f aca="false">Inputs!$C$6</f>
        <v>47.68</v>
      </c>
    </row>
    <row r="22" customFormat="false" ht="15" hidden="false" customHeight="false" outlineLevel="0" collapsed="false">
      <c r="A22" s="13" t="s">
        <v>785</v>
      </c>
      <c r="C22" s="74" t="n">
        <f aca="false">C20/C21-1</f>
        <v>-0.234479865771812</v>
      </c>
    </row>
    <row r="23" customFormat="false" ht="15" hidden="false" customHeight="false" outlineLevel="0" collapsed="false">
      <c r="A23" s="4" t="s">
        <v>786</v>
      </c>
      <c r="C23" s="27" t="n">
        <f aca="false">Inputs!$C$19+'Cash Flow'!H49/Inputs!$C$14*Inputs!$C$7+'Cash Flow'!I48/Inputs!$C$14*Inputs!$C$7</f>
        <v>3.62579285224698</v>
      </c>
      <c r="H23" s="17" t="s">
        <v>787</v>
      </c>
    </row>
    <row r="24" customFormat="false" ht="15" hidden="false" customHeight="false" outlineLevel="0" collapsed="false">
      <c r="A24" s="13" t="s">
        <v>15</v>
      </c>
      <c r="C24" s="74" t="n">
        <f aca="false">(C20+C23)/C21-1</f>
        <v>-0.158435552595491</v>
      </c>
    </row>
    <row r="25" customFormat="false" ht="15" hidden="false" customHeight="false" outlineLevel="0" collapsed="false">
      <c r="A25" s="13" t="s">
        <v>16</v>
      </c>
      <c r="C25" s="96" t="str">
        <f aca="false">IF(C24&gt;=C26,"BUY",IF(C24&lt;=C27,"SELL","HOLD"))</f>
        <v>SELL</v>
      </c>
    </row>
    <row r="26" customFormat="false" ht="15" hidden="false" customHeight="false" outlineLevel="0" collapsed="false">
      <c r="A26" s="4" t="s">
        <v>788</v>
      </c>
      <c r="C26" s="31" t="n">
        <v>0.15</v>
      </c>
      <c r="H26" s="17" t="s">
        <v>789</v>
      </c>
    </row>
    <row r="27" customFormat="false" ht="15" hidden="false" customHeight="false" outlineLevel="0" collapsed="false">
      <c r="A27" s="4" t="s">
        <v>790</v>
      </c>
      <c r="C27" s="31" t="n">
        <v>-0.1</v>
      </c>
    </row>
    <row r="29" customFormat="false" ht="15" hidden="false" customHeight="false" outlineLevel="0" collapsed="false">
      <c r="A29" s="19" t="s">
        <v>791</v>
      </c>
      <c r="B29" s="20"/>
      <c r="C29" s="20"/>
      <c r="D29" s="20"/>
      <c r="E29" s="20"/>
      <c r="F29" s="20"/>
      <c r="G29" s="20"/>
      <c r="H29" s="20"/>
    </row>
    <row r="30" customFormat="false" ht="15" hidden="false" customHeight="false" outlineLevel="0" collapsed="false">
      <c r="A30" s="4" t="s">
        <v>792</v>
      </c>
      <c r="C30" s="8" t="n">
        <f aca="false">$C$20/'Income Statement'!H59</f>
        <v>8.55478807214114</v>
      </c>
    </row>
    <row r="31" customFormat="false" ht="15" hidden="false" customHeight="false" outlineLevel="0" collapsed="false">
      <c r="A31" s="4" t="s">
        <v>793</v>
      </c>
      <c r="C31" s="8" t="n">
        <f aca="false">$C$20/'Income Statement'!I59</f>
        <v>10.6697447676395</v>
      </c>
    </row>
    <row r="32" customFormat="false" ht="15" hidden="false" customHeight="false" outlineLevel="0" collapsed="false">
      <c r="A32" s="4" t="s">
        <v>794</v>
      </c>
      <c r="C32" s="8" t="n">
        <f aca="false">($C$20*Inputs!$C$14/Inputs!$C$7-'Balance Sheet'!H53-'DCF Inputs'!H22+'Balance Sheet'!H45)/'Income Statement'!I39</f>
        <v>8.71494593691589</v>
      </c>
    </row>
    <row r="33" customFormat="false" ht="15" hidden="false" customHeight="false" outlineLevel="0" collapsed="false">
      <c r="A33" s="4" t="s">
        <v>795</v>
      </c>
      <c r="C33" s="67" t="n">
        <f aca="false">$C$20/'Balance Sheet'!H56</f>
        <v>4.57001870718341</v>
      </c>
    </row>
    <row r="34" customFormat="false" ht="15" hidden="false" customHeight="false" outlineLevel="0" collapsed="false">
      <c r="A34" s="4" t="s">
        <v>796</v>
      </c>
      <c r="C34" s="9" t="n">
        <f aca="false">'Income Statement'!I60/$C$20</f>
        <v>0.0750467119040934</v>
      </c>
    </row>
    <row r="35" customFormat="false" ht="15" hidden="false" customHeight="false" outlineLevel="0" collapsed="false">
      <c r="A35" s="4" t="s">
        <v>797</v>
      </c>
      <c r="C35" s="27" t="n">
        <f aca="false">Inputs!$C$6/Comps!$C$33</f>
        <v>4.39042357274402</v>
      </c>
      <c r="H35" s="17" t="s">
        <v>798</v>
      </c>
    </row>
    <row r="37" customFormat="false" ht="15" hidden="false" customHeight="false" outlineLevel="0" collapsed="false">
      <c r="A37" s="19" t="s">
        <v>799</v>
      </c>
      <c r="B37" s="20"/>
      <c r="C37" s="20"/>
      <c r="D37" s="20"/>
      <c r="E37" s="20"/>
      <c r="F37" s="20"/>
      <c r="G37" s="20"/>
      <c r="H37" s="20"/>
    </row>
    <row r="38" customFormat="false" ht="15" hidden="false" customHeight="false" outlineLevel="0" collapsed="false">
      <c r="A38" s="18" t="s">
        <v>800</v>
      </c>
      <c r="B38" s="45" t="s">
        <v>801</v>
      </c>
      <c r="C38" s="45" t="s">
        <v>802</v>
      </c>
      <c r="D38" s="45" t="s">
        <v>803</v>
      </c>
      <c r="E38" s="45" t="s">
        <v>804</v>
      </c>
      <c r="F38" s="45" t="s">
        <v>742</v>
      </c>
      <c r="G38" s="45" t="s">
        <v>805</v>
      </c>
    </row>
    <row r="39" customFormat="false" ht="15" hidden="false" customHeight="false" outlineLevel="0" collapsed="false">
      <c r="A39" s="4" t="s">
        <v>264</v>
      </c>
      <c r="B39" s="31" t="n">
        <v>0.25</v>
      </c>
      <c r="C39" s="10" t="n">
        <f aca="false">Scenarios!E109</f>
        <v>604.635639583321</v>
      </c>
      <c r="D39" s="6" t="n">
        <f aca="false">Scenarios!E118</f>
        <v>2.12226202449278</v>
      </c>
      <c r="E39" s="6" t="n">
        <f aca="false">Scenarios!E125</f>
        <v>16.1049435006338</v>
      </c>
      <c r="F39" s="9" t="n">
        <f aca="false">E39/Inputs!$C$6-1</f>
        <v>-0.662228533963217</v>
      </c>
      <c r="G39" s="17" t="s">
        <v>806</v>
      </c>
    </row>
    <row r="40" customFormat="false" ht="15" hidden="false" customHeight="false" outlineLevel="0" collapsed="false">
      <c r="A40" s="4" t="s">
        <v>263</v>
      </c>
      <c r="B40" s="31" t="n">
        <v>0.5</v>
      </c>
      <c r="C40" s="10" t="n">
        <f aca="false">Scenarios!D109</f>
        <v>710.743472165121</v>
      </c>
      <c r="D40" s="6" t="n">
        <f aca="false">Scenarios!D118</f>
        <v>3.4208878276734</v>
      </c>
      <c r="E40" s="6" t="n">
        <f aca="false">Scenarios!D125</f>
        <v>36.2218024309965</v>
      </c>
      <c r="F40" s="9" t="n">
        <f aca="false">E40/Inputs!$C$6-1</f>
        <v>-0.240314546329771</v>
      </c>
      <c r="G40" s="17" t="s">
        <v>807</v>
      </c>
    </row>
    <row r="41" customFormat="false" ht="15" hidden="false" customHeight="false" outlineLevel="0" collapsed="false">
      <c r="A41" s="4" t="s">
        <v>262</v>
      </c>
      <c r="B41" s="31" t="n">
        <v>0.25</v>
      </c>
      <c r="C41" s="10" t="n">
        <f aca="false">Scenarios!C109</f>
        <v>813.335328223405</v>
      </c>
      <c r="D41" s="6" t="n">
        <f aca="false">Scenarios!C118</f>
        <v>4.39188178851663</v>
      </c>
      <c r="E41" s="6" t="n">
        <f aca="false">Scenarios!C125</f>
        <v>59.4020455631703</v>
      </c>
      <c r="F41" s="9" t="n">
        <f aca="false">E41/Inputs!$C$6-1</f>
        <v>0.245848271039645</v>
      </c>
      <c r="G41" s="17" t="s">
        <v>808</v>
      </c>
    </row>
    <row r="42" customFormat="false" ht="15" hidden="false" customHeight="false" outlineLevel="0" collapsed="false">
      <c r="A42" s="13" t="s">
        <v>809</v>
      </c>
      <c r="B42" s="74" t="n">
        <f aca="false">SUM(B39:B41)</f>
        <v>1</v>
      </c>
      <c r="E42" s="91" t="n">
        <f aca="false">IF(ABS(B42-1)&lt;0.0001,SUMPRODUCT(B39:B41,E39:E41),"n/a")</f>
        <v>36.9876484814493</v>
      </c>
      <c r="F42" s="74" t="n">
        <f aca="false">IF(ISNUMBER(E42),E42/Inputs!$C$6-1,"")</f>
        <v>-0.224252338895779</v>
      </c>
      <c r="G42" s="17" t="s">
        <v>810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12" min="2" style="0" width="11"/>
    <col collapsed="false" customWidth="true" hidden="false" outlineLevel="0" max="13" min="13" style="0" width="70"/>
  </cols>
  <sheetData>
    <row r="1" customFormat="false" ht="15" hidden="false" customHeight="false" outlineLevel="0" collapsed="false">
      <c r="A1" s="16" t="s">
        <v>811</v>
      </c>
    </row>
    <row r="2" customFormat="false" ht="15" hidden="false" customHeight="false" outlineLevel="0" collapsed="false">
      <c r="A2" s="17" t="s">
        <v>812</v>
      </c>
    </row>
    <row r="4" customFormat="false" ht="15" hidden="false" customHeight="false" outlineLevel="0" collapsed="false">
      <c r="A4" s="29" t="s">
        <v>813</v>
      </c>
      <c r="B4" s="30" t="s">
        <v>63</v>
      </c>
      <c r="C4" s="30" t="s">
        <v>115</v>
      </c>
      <c r="D4" s="30" t="s">
        <v>116</v>
      </c>
      <c r="E4" s="30" t="s">
        <v>117</v>
      </c>
      <c r="F4" s="30" t="s">
        <v>118</v>
      </c>
      <c r="G4" s="30" t="s">
        <v>119</v>
      </c>
      <c r="H4" s="30" t="s">
        <v>120</v>
      </c>
      <c r="I4" s="30" t="s">
        <v>121</v>
      </c>
      <c r="J4" s="30" t="s">
        <v>122</v>
      </c>
      <c r="K4" s="30" t="s">
        <v>123</v>
      </c>
      <c r="L4" s="30" t="s">
        <v>124</v>
      </c>
      <c r="M4" s="29" t="s">
        <v>304</v>
      </c>
    </row>
    <row r="5" customFormat="false" ht="15" hidden="false" customHeight="false" outlineLevel="0" collapsed="false">
      <c r="A5" s="19" t="s">
        <v>814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</row>
    <row r="6" customFormat="false" ht="15" hidden="false" customHeight="false" outlineLevel="0" collapsed="false">
      <c r="A6" s="4" t="s">
        <v>815</v>
      </c>
      <c r="B6" s="17"/>
      <c r="C6" s="39" t="b">
        <f aca="false">ABS('Balance Sheet'!C48)&lt;0.01</f>
        <v>1</v>
      </c>
      <c r="D6" s="39" t="b">
        <f aca="false">ABS('Balance Sheet'!D48)&lt;0.01</f>
        <v>1</v>
      </c>
      <c r="E6" s="39" t="b">
        <f aca="false">ABS('Balance Sheet'!E48)&lt;0.01</f>
        <v>1</v>
      </c>
      <c r="F6" s="39" t="b">
        <f aca="false">ABS('Balance Sheet'!F48)&lt;0.01</f>
        <v>1</v>
      </c>
      <c r="G6" s="39" t="b">
        <f aca="false">ABS('Balance Sheet'!G48)&lt;0.01</f>
        <v>1</v>
      </c>
      <c r="H6" s="39" t="b">
        <f aca="false">ABS('Balance Sheet'!H48)&lt;0.01</f>
        <v>1</v>
      </c>
      <c r="I6" s="39" t="b">
        <f aca="false">ABS('Balance Sheet'!I48)&lt;0.01</f>
        <v>1</v>
      </c>
      <c r="J6" s="39" t="b">
        <f aca="false">ABS('Balance Sheet'!J48)&lt;0.01</f>
        <v>1</v>
      </c>
      <c r="K6" s="39" t="b">
        <f aca="false">ABS('Balance Sheet'!K48)&lt;0.01</f>
        <v>1</v>
      </c>
      <c r="L6" s="39" t="b">
        <f aca="false">ABS('Balance Sheet'!L48)&lt;0.01</f>
        <v>1</v>
      </c>
    </row>
    <row r="7" customFormat="false" ht="15" hidden="false" customHeight="false" outlineLevel="0" collapsed="false">
      <c r="A7" s="4" t="s">
        <v>816</v>
      </c>
      <c r="B7" s="17"/>
      <c r="C7" s="39" t="b">
        <f aca="false">ABS('Cash Flow'!C42-'Balance Sheet'!C22)&lt;0.01</f>
        <v>1</v>
      </c>
      <c r="D7" s="39" t="b">
        <f aca="false">ABS('Cash Flow'!D42-'Balance Sheet'!D22)&lt;0.01</f>
        <v>1</v>
      </c>
      <c r="E7" s="39" t="b">
        <f aca="false">ABS('Cash Flow'!E42-'Balance Sheet'!E22)&lt;0.01</f>
        <v>1</v>
      </c>
      <c r="F7" s="39" t="b">
        <f aca="false">ABS('Cash Flow'!F42-'Balance Sheet'!F22)&lt;0.01</f>
        <v>1</v>
      </c>
      <c r="G7" s="39" t="b">
        <f aca="false">ABS('Cash Flow'!G42-'Balance Sheet'!G22)&lt;0.01</f>
        <v>1</v>
      </c>
      <c r="H7" s="39" t="b">
        <f aca="false">ABS('Cash Flow'!H42-'Balance Sheet'!H22)&lt;0.01</f>
        <v>1</v>
      </c>
      <c r="I7" s="39" t="b">
        <f aca="false">ABS('Cash Flow'!I42-'Balance Sheet'!I22)&lt;0.01</f>
        <v>1</v>
      </c>
      <c r="J7" s="39" t="b">
        <f aca="false">ABS('Cash Flow'!J42-'Balance Sheet'!J22)&lt;0.01</f>
        <v>1</v>
      </c>
      <c r="K7" s="39" t="b">
        <f aca="false">ABS('Cash Flow'!K42-'Balance Sheet'!K22)&lt;0.01</f>
        <v>1</v>
      </c>
      <c r="L7" s="39" t="b">
        <f aca="false">ABS('Cash Flow'!L42-'Balance Sheet'!L22)&lt;0.01</f>
        <v>1</v>
      </c>
    </row>
    <row r="8" customFormat="false" ht="15" hidden="false" customHeight="false" outlineLevel="0" collapsed="false">
      <c r="A8" s="4" t="s">
        <v>817</v>
      </c>
      <c r="B8" s="17"/>
      <c r="C8" s="39" t="b">
        <f aca="false">ABS('Revenue Model'!C40)&lt;0.01</f>
        <v>1</v>
      </c>
      <c r="D8" s="39" t="b">
        <f aca="false">ABS('Revenue Model'!D40)&lt;0.01</f>
        <v>1</v>
      </c>
      <c r="E8" s="39" t="b">
        <f aca="false">ABS('Revenue Model'!E40)&lt;0.01</f>
        <v>1</v>
      </c>
      <c r="F8" s="39" t="b">
        <f aca="false">ABS('Revenue Model'!F40)&lt;0.01</f>
        <v>1</v>
      </c>
      <c r="G8" s="39" t="b">
        <f aca="false">ABS('Revenue Model'!G40)&lt;0.01</f>
        <v>1</v>
      </c>
      <c r="H8" s="39" t="b">
        <f aca="false">ABS('Revenue Model'!H40)&lt;0.01</f>
        <v>1</v>
      </c>
      <c r="I8" s="39" t="b">
        <f aca="false">ABS('Revenue Model'!I40)&lt;0.01</f>
        <v>1</v>
      </c>
      <c r="J8" s="39" t="b">
        <f aca="false">ABS('Revenue Model'!J40)&lt;0.01</f>
        <v>1</v>
      </c>
      <c r="K8" s="39" t="b">
        <f aca="false">ABS('Revenue Model'!K40)&lt;0.01</f>
        <v>1</v>
      </c>
      <c r="L8" s="39" t="b">
        <f aca="false">ABS('Revenue Model'!L40)&lt;0.01</f>
        <v>1</v>
      </c>
    </row>
    <row r="9" customFormat="false" ht="15" hidden="false" customHeight="false" outlineLevel="0" collapsed="false">
      <c r="A9" s="4" t="s">
        <v>818</v>
      </c>
      <c r="B9" s="17"/>
      <c r="H9" s="39" t="b">
        <f aca="false">'Balance Sheet'!H8&gt;-0.01</f>
        <v>1</v>
      </c>
      <c r="I9" s="39" t="b">
        <f aca="false">'Balance Sheet'!I8&gt;-0.01</f>
        <v>1</v>
      </c>
      <c r="J9" s="39" t="b">
        <f aca="false">'Balance Sheet'!J8&gt;-0.01</f>
        <v>1</v>
      </c>
      <c r="K9" s="39" t="b">
        <f aca="false">'Balance Sheet'!K8&gt;-0.01</f>
        <v>1</v>
      </c>
      <c r="L9" s="39" t="b">
        <f aca="false">'Balance Sheet'!L8&gt;-0.01</f>
        <v>1</v>
      </c>
    </row>
    <row r="10" customFormat="false" ht="15" hidden="false" customHeight="false" outlineLevel="0" collapsed="false">
      <c r="A10" s="4" t="s">
        <v>819</v>
      </c>
      <c r="B10" s="17"/>
      <c r="H10" s="39" t="b">
        <f aca="false">'Balance Sheet'!H22&gt;=Inputs!$C$28-0.01</f>
        <v>1</v>
      </c>
      <c r="I10" s="39" t="b">
        <f aca="false">'Balance Sheet'!I22&gt;=Inputs!$C$28-0.01</f>
        <v>1</v>
      </c>
      <c r="J10" s="39" t="b">
        <f aca="false">'Balance Sheet'!J22&gt;=Inputs!$C$28-0.01</f>
        <v>1</v>
      </c>
      <c r="K10" s="39" t="b">
        <f aca="false">'Balance Sheet'!K22&gt;=Inputs!$C$28-0.01</f>
        <v>1</v>
      </c>
      <c r="L10" s="39" t="b">
        <f aca="false">'Balance Sheet'!L22&gt;=Inputs!$C$28-0.01</f>
        <v>1</v>
      </c>
    </row>
    <row r="11" customFormat="false" ht="15" hidden="false" customHeight="false" outlineLevel="0" collapsed="false">
      <c r="A11" s="4" t="s">
        <v>820</v>
      </c>
      <c r="B11" s="17"/>
      <c r="H11" s="39" t="b">
        <f aca="false">'Cash Flow'!H45&gt;=0</f>
        <v>1</v>
      </c>
      <c r="I11" s="39" t="b">
        <f aca="false">'Cash Flow'!I45&gt;=0</f>
        <v>1</v>
      </c>
      <c r="J11" s="39" t="b">
        <f aca="false">'Cash Flow'!J45&gt;=0</f>
        <v>1</v>
      </c>
      <c r="K11" s="39" t="b">
        <f aca="false">'Cash Flow'!K45&gt;=0</f>
        <v>1</v>
      </c>
      <c r="L11" s="39" t="b">
        <f aca="false">'Cash Flow'!L45&gt;=0</f>
        <v>1</v>
      </c>
    </row>
    <row r="12" customFormat="false" ht="15" hidden="false" customHeight="false" outlineLevel="0" collapsed="false">
      <c r="A12" s="19" t="s">
        <v>821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</row>
    <row r="13" customFormat="false" ht="15" hidden="false" customHeight="false" outlineLevel="0" collapsed="false">
      <c r="A13" s="48" t="s">
        <v>822</v>
      </c>
      <c r="B13" s="17" t="s">
        <v>89</v>
      </c>
      <c r="C13" s="49" t="n">
        <v>1531.065</v>
      </c>
      <c r="D13" s="49" t="n">
        <v>1853.886</v>
      </c>
      <c r="E13" s="49" t="n">
        <v>2025.878</v>
      </c>
      <c r="F13" s="49" t="n">
        <v>2174.554</v>
      </c>
      <c r="G13" s="49" t="n">
        <v>2254.135</v>
      </c>
    </row>
    <row r="14" customFormat="false" ht="15" hidden="false" customHeight="false" outlineLevel="0" collapsed="false">
      <c r="A14" s="4" t="s">
        <v>823</v>
      </c>
      <c r="B14" s="17"/>
      <c r="C14" s="39" t="b">
        <f aca="false">ABS('Balance Sheet'!C14-C13)&lt;0.01</f>
        <v>1</v>
      </c>
      <c r="D14" s="39" t="b">
        <f aca="false">ABS('Balance Sheet'!D14-D13)&lt;0.01</f>
        <v>1</v>
      </c>
      <c r="E14" s="39" t="b">
        <f aca="false">ABS('Balance Sheet'!E14-E13)&lt;0.01</f>
        <v>1</v>
      </c>
      <c r="F14" s="39" t="b">
        <f aca="false">ABS('Balance Sheet'!F14-F13)&lt;0.01</f>
        <v>1</v>
      </c>
      <c r="G14" s="39" t="b">
        <f aca="false">ABS('Balance Sheet'!G14-G13)&lt;0.01</f>
        <v>1</v>
      </c>
    </row>
    <row r="15" customFormat="false" ht="15" hidden="false" customHeight="false" outlineLevel="0" collapsed="false">
      <c r="A15" s="48" t="s">
        <v>824</v>
      </c>
      <c r="B15" s="17" t="s">
        <v>89</v>
      </c>
      <c r="C15" s="49" t="n">
        <v>1185.358</v>
      </c>
      <c r="D15" s="49" t="n">
        <v>1228.97</v>
      </c>
      <c r="E15" s="49" t="n">
        <v>626.585</v>
      </c>
      <c r="F15" s="49" t="n">
        <v>1023.519</v>
      </c>
      <c r="G15" s="49" t="n">
        <v>1223.435</v>
      </c>
    </row>
    <row r="16" customFormat="false" ht="15" hidden="false" customHeight="false" outlineLevel="0" collapsed="false">
      <c r="A16" s="4" t="s">
        <v>825</v>
      </c>
      <c r="B16" s="17"/>
      <c r="C16" s="39" t="b">
        <f aca="false">ABS('Balance Sheet'!C23-C15)&lt;0.01</f>
        <v>1</v>
      </c>
      <c r="D16" s="39" t="b">
        <f aca="false">ABS('Balance Sheet'!D23-D15)&lt;0.01</f>
        <v>1</v>
      </c>
      <c r="E16" s="39" t="b">
        <f aca="false">ABS('Balance Sheet'!E23-E15)&lt;0.01</f>
        <v>1</v>
      </c>
      <c r="F16" s="39" t="b">
        <f aca="false">ABS('Balance Sheet'!F23-F15)&lt;0.01</f>
        <v>1</v>
      </c>
      <c r="G16" s="39" t="b">
        <f aca="false">ABS('Balance Sheet'!G23-G15)&lt;0.01</f>
        <v>1</v>
      </c>
    </row>
    <row r="17" customFormat="false" ht="15" hidden="false" customHeight="false" outlineLevel="0" collapsed="false">
      <c r="A17" s="48" t="s">
        <v>826</v>
      </c>
      <c r="B17" s="17" t="s">
        <v>89</v>
      </c>
      <c r="C17" s="49" t="n">
        <v>785.274</v>
      </c>
      <c r="D17" s="49" t="n">
        <v>488.364</v>
      </c>
      <c r="E17" s="49" t="n">
        <v>503</v>
      </c>
      <c r="F17" s="49" t="n">
        <v>544.756</v>
      </c>
      <c r="G17" s="49" t="n">
        <v>725.092</v>
      </c>
    </row>
    <row r="18" customFormat="false" ht="15" hidden="false" customHeight="false" outlineLevel="0" collapsed="false">
      <c r="A18" s="4" t="s">
        <v>827</v>
      </c>
      <c r="B18" s="17"/>
      <c r="C18" s="39" t="b">
        <f aca="false">ABS('Balance Sheet'!C33-C17)&lt;0.01</f>
        <v>1</v>
      </c>
      <c r="D18" s="39" t="b">
        <f aca="false">ABS('Balance Sheet'!D33-D17)&lt;0.01</f>
        <v>1</v>
      </c>
      <c r="E18" s="39" t="b">
        <f aca="false">ABS('Balance Sheet'!E33-E17)&lt;0.01</f>
        <v>1</v>
      </c>
      <c r="F18" s="39" t="b">
        <f aca="false">ABS('Balance Sheet'!F33-F17)&lt;0.01</f>
        <v>1</v>
      </c>
      <c r="G18" s="39" t="b">
        <f aca="false">ABS('Balance Sheet'!G33-G17)&lt;0.01</f>
        <v>1</v>
      </c>
    </row>
    <row r="19" customFormat="false" ht="15" hidden="false" customHeight="false" outlineLevel="0" collapsed="false">
      <c r="A19" s="48" t="s">
        <v>828</v>
      </c>
      <c r="B19" s="17" t="s">
        <v>89</v>
      </c>
      <c r="C19" s="49" t="n">
        <v>415.465</v>
      </c>
      <c r="D19" s="49" t="n">
        <v>429.481</v>
      </c>
      <c r="E19" s="49" t="n">
        <v>218.405</v>
      </c>
      <c r="F19" s="49" t="n">
        <v>231.813</v>
      </c>
      <c r="G19" s="49" t="n">
        <v>251.272</v>
      </c>
    </row>
    <row r="20" customFormat="false" ht="15" hidden="false" customHeight="false" outlineLevel="0" collapsed="false">
      <c r="A20" s="4" t="s">
        <v>829</v>
      </c>
      <c r="B20" s="17"/>
      <c r="C20" s="39" t="b">
        <f aca="false">ABS('Balance Sheet'!C39-C19)&lt;0.01</f>
        <v>1</v>
      </c>
      <c r="D20" s="39" t="b">
        <f aca="false">ABS('Balance Sheet'!D39-D19)&lt;0.01</f>
        <v>1</v>
      </c>
      <c r="E20" s="39" t="b">
        <f aca="false">ABS('Balance Sheet'!E39-E19)&lt;0.01</f>
        <v>1</v>
      </c>
      <c r="F20" s="39" t="b">
        <f aca="false">ABS('Balance Sheet'!F39-F19)&lt;0.01</f>
        <v>1</v>
      </c>
      <c r="G20" s="39" t="b">
        <f aca="false">ABS('Balance Sheet'!G39-G19)&lt;0.01</f>
        <v>1</v>
      </c>
    </row>
    <row r="21" customFormat="false" ht="15" hidden="false" customHeight="false" outlineLevel="0" collapsed="false">
      <c r="A21" s="48" t="s">
        <v>830</v>
      </c>
      <c r="B21" s="17" t="s">
        <v>89</v>
      </c>
      <c r="C21" s="49" t="n">
        <v>1515.684</v>
      </c>
      <c r="D21" s="49" t="n">
        <v>2165.011</v>
      </c>
      <c r="E21" s="49" t="n">
        <v>1931.058</v>
      </c>
      <c r="F21" s="49" t="n">
        <v>2421.504</v>
      </c>
      <c r="G21" s="49" t="n">
        <v>2501.206</v>
      </c>
    </row>
    <row r="22" customFormat="false" ht="15" hidden="false" customHeight="false" outlineLevel="0" collapsed="false">
      <c r="A22" s="4" t="s">
        <v>831</v>
      </c>
      <c r="B22" s="17"/>
      <c r="C22" s="39" t="b">
        <f aca="false">ABS('Balance Sheet'!C46-C21)&lt;0.01</f>
        <v>1</v>
      </c>
      <c r="D22" s="39" t="b">
        <f aca="false">ABS('Balance Sheet'!D46-D21)&lt;0.01</f>
        <v>1</v>
      </c>
      <c r="E22" s="39" t="b">
        <f aca="false">ABS('Balance Sheet'!E46-E21)&lt;0.01</f>
        <v>1</v>
      </c>
      <c r="F22" s="39" t="b">
        <f aca="false">ABS('Balance Sheet'!F46-F21)&lt;0.01</f>
        <v>1</v>
      </c>
      <c r="G22" s="39" t="b">
        <f aca="false">ABS('Balance Sheet'!G46-G21)&lt;0.01</f>
        <v>1</v>
      </c>
    </row>
    <row r="23" customFormat="false" ht="15" hidden="false" customHeight="false" outlineLevel="0" collapsed="false">
      <c r="A23" s="48" t="s">
        <v>832</v>
      </c>
      <c r="B23" s="17" t="s">
        <v>89</v>
      </c>
      <c r="C23" s="49" t="n">
        <v>3012.447</v>
      </c>
      <c r="D23" s="49" t="n">
        <v>4112.955</v>
      </c>
      <c r="E23" s="49" t="n">
        <v>2428.959</v>
      </c>
      <c r="F23" s="49" t="n">
        <v>3058.059</v>
      </c>
      <c r="G23" s="49" t="n">
        <v>3411.647</v>
      </c>
    </row>
    <row r="24" customFormat="false" ht="15" hidden="false" customHeight="false" outlineLevel="0" collapsed="false">
      <c r="A24" s="4" t="s">
        <v>833</v>
      </c>
      <c r="B24" s="17"/>
      <c r="C24" s="39" t="b">
        <f aca="false">ABS('Income Statement'!C9-C23)&lt;0.01</f>
        <v>1</v>
      </c>
      <c r="D24" s="39" t="b">
        <f aca="false">ABS('Income Statement'!D9-D23)&lt;0.01</f>
        <v>1</v>
      </c>
      <c r="E24" s="39" t="b">
        <f aca="false">ABS('Income Statement'!E9-E23)&lt;0.01</f>
        <v>1</v>
      </c>
      <c r="F24" s="39" t="b">
        <f aca="false">ABS('Income Statement'!F9-F23)&lt;0.01</f>
        <v>1</v>
      </c>
      <c r="G24" s="39" t="b">
        <f aca="false">ABS('Income Statement'!G9-G23)&lt;0.01</f>
        <v>1</v>
      </c>
    </row>
    <row r="25" customFormat="false" ht="15" hidden="false" customHeight="false" outlineLevel="0" collapsed="false">
      <c r="A25" s="48" t="s">
        <v>834</v>
      </c>
      <c r="B25" s="17" t="s">
        <v>89</v>
      </c>
      <c r="C25" s="49" t="n">
        <v>-1693.074</v>
      </c>
      <c r="D25" s="49" t="n">
        <v>-2133.873</v>
      </c>
      <c r="E25" s="49" t="n">
        <v>-1805.925</v>
      </c>
      <c r="F25" s="49" t="n">
        <v>-1915.242</v>
      </c>
      <c r="G25" s="49" t="n">
        <v>-2101.181</v>
      </c>
    </row>
    <row r="26" customFormat="false" ht="15" hidden="false" customHeight="false" outlineLevel="0" collapsed="false">
      <c r="A26" s="4" t="s">
        <v>835</v>
      </c>
      <c r="B26" s="17"/>
      <c r="C26" s="39" t="b">
        <f aca="false">ABS('Income Statement'!C17-C25)&lt;0.01</f>
        <v>1</v>
      </c>
      <c r="D26" s="39" t="b">
        <f aca="false">ABS('Income Statement'!D17-D25)&lt;0.01</f>
        <v>1</v>
      </c>
      <c r="E26" s="39" t="b">
        <f aca="false">ABS('Income Statement'!E17-E25)&lt;0.01</f>
        <v>1</v>
      </c>
      <c r="F26" s="39" t="b">
        <f aca="false">ABS('Income Statement'!F17-F25)&lt;0.01</f>
        <v>1</v>
      </c>
      <c r="G26" s="39" t="b">
        <f aca="false">ABS('Income Statement'!G17-G25)&lt;0.01</f>
        <v>1</v>
      </c>
    </row>
    <row r="27" customFormat="false" ht="15" hidden="false" customHeight="false" outlineLevel="0" collapsed="false">
      <c r="A27" s="48" t="s">
        <v>836</v>
      </c>
      <c r="B27" s="17" t="s">
        <v>89</v>
      </c>
      <c r="C27" s="49" t="n">
        <v>1193.791</v>
      </c>
      <c r="D27" s="49" t="n">
        <v>1968.007</v>
      </c>
      <c r="E27" s="49" t="n">
        <v>540.877</v>
      </c>
      <c r="F27" s="49" t="n">
        <v>1042.223</v>
      </c>
      <c r="G27" s="49" t="n">
        <v>1228.988</v>
      </c>
    </row>
    <row r="28" customFormat="false" ht="15" hidden="false" customHeight="false" outlineLevel="0" collapsed="false">
      <c r="A28" s="4" t="s">
        <v>837</v>
      </c>
      <c r="B28" s="17"/>
      <c r="C28" s="39" t="b">
        <f aca="false">ABS('Income Statement'!C43-C27)&lt;0.01</f>
        <v>1</v>
      </c>
      <c r="D28" s="39" t="b">
        <f aca="false">ABS('Income Statement'!D43-D27)&lt;0.01</f>
        <v>1</v>
      </c>
      <c r="E28" s="39" t="b">
        <f aca="false">ABS('Income Statement'!E43-E27)&lt;0.01</f>
        <v>1</v>
      </c>
      <c r="F28" s="39" t="b">
        <f aca="false">ABS('Income Statement'!F43-F27)&lt;0.01</f>
        <v>1</v>
      </c>
      <c r="G28" s="39" t="b">
        <f aca="false">ABS('Income Statement'!G43-G27)&lt;0.01</f>
        <v>1</v>
      </c>
    </row>
    <row r="29" customFormat="false" ht="15" hidden="false" customHeight="false" outlineLevel="0" collapsed="false">
      <c r="A29" s="48" t="s">
        <v>838</v>
      </c>
      <c r="B29" s="17" t="s">
        <v>89</v>
      </c>
      <c r="C29" s="49" t="n">
        <v>1184.666</v>
      </c>
      <c r="D29" s="49" t="n">
        <v>1973.042</v>
      </c>
      <c r="E29" s="49" t="n">
        <v>553.414</v>
      </c>
      <c r="F29" s="49" t="n">
        <v>1053.574</v>
      </c>
      <c r="G29" s="49" t="n">
        <v>1251.269</v>
      </c>
    </row>
    <row r="30" customFormat="false" ht="15" hidden="false" customHeight="false" outlineLevel="0" collapsed="false">
      <c r="A30" s="4" t="s">
        <v>839</v>
      </c>
      <c r="B30" s="17"/>
      <c r="C30" s="39" t="b">
        <f aca="false">ABS('Income Statement'!C46-C29)&lt;0.01</f>
        <v>1</v>
      </c>
      <c r="D30" s="39" t="b">
        <f aca="false">ABS('Income Statement'!D46-D29)&lt;0.01</f>
        <v>1</v>
      </c>
      <c r="E30" s="39" t="b">
        <f aca="false">ABS('Income Statement'!E46-E29)&lt;0.01</f>
        <v>1</v>
      </c>
      <c r="F30" s="39" t="b">
        <f aca="false">ABS('Income Statement'!F46-F29)&lt;0.01</f>
        <v>1</v>
      </c>
      <c r="G30" s="39" t="b">
        <f aca="false">ABS('Income Statement'!G46-G29)&lt;0.01</f>
        <v>1</v>
      </c>
    </row>
    <row r="31" customFormat="false" ht="15" hidden="false" customHeight="false" outlineLevel="0" collapsed="false">
      <c r="A31" s="48" t="s">
        <v>840</v>
      </c>
      <c r="B31" s="17" t="s">
        <v>89</v>
      </c>
      <c r="C31" s="49" t="n">
        <v>1162.714</v>
      </c>
      <c r="D31" s="49" t="n">
        <v>1944.425</v>
      </c>
      <c r="E31" s="49" t="n">
        <v>531.393</v>
      </c>
      <c r="F31" s="49" t="n">
        <v>1028.325</v>
      </c>
      <c r="G31" s="49" t="n">
        <v>1222.887</v>
      </c>
    </row>
    <row r="32" customFormat="false" ht="15" hidden="false" customHeight="false" outlineLevel="0" collapsed="false">
      <c r="A32" s="4" t="s">
        <v>841</v>
      </c>
      <c r="B32" s="17"/>
      <c r="C32" s="39" t="b">
        <f aca="false">ABS('Income Statement'!C52-C31)&lt;0.01</f>
        <v>1</v>
      </c>
      <c r="D32" s="39" t="b">
        <f aca="false">ABS('Income Statement'!D52-D31)&lt;0.01</f>
        <v>1</v>
      </c>
      <c r="E32" s="39" t="b">
        <f aca="false">ABS('Income Statement'!E52-E31)&lt;0.01</f>
        <v>1</v>
      </c>
      <c r="F32" s="39" t="b">
        <f aca="false">ABS('Income Statement'!F52-F31)&lt;0.01</f>
        <v>1</v>
      </c>
      <c r="G32" s="39" t="b">
        <f aca="false">ABS('Income Statement'!G52-G31)&lt;0.01</f>
        <v>1</v>
      </c>
    </row>
    <row r="33" customFormat="false" ht="15" hidden="false" customHeight="false" outlineLevel="0" collapsed="false">
      <c r="A33" s="48" t="s">
        <v>842</v>
      </c>
      <c r="B33" s="17" t="s">
        <v>89</v>
      </c>
      <c r="C33" s="49" t="n">
        <v>1335.209</v>
      </c>
      <c r="D33" s="49" t="n">
        <v>2002.565</v>
      </c>
      <c r="E33" s="49" t="n">
        <v>672.213</v>
      </c>
      <c r="F33" s="49" t="n">
        <v>1158.334</v>
      </c>
      <c r="G33" s="49" t="n">
        <v>1401.037</v>
      </c>
    </row>
    <row r="34" customFormat="false" ht="15" hidden="false" customHeight="false" outlineLevel="0" collapsed="false">
      <c r="A34" s="4" t="s">
        <v>843</v>
      </c>
      <c r="B34" s="17"/>
      <c r="C34" s="39" t="b">
        <f aca="false">ABS('Cash Flow'!C18-C33)&lt;0.01</f>
        <v>1</v>
      </c>
      <c r="D34" s="39" t="b">
        <f aca="false">ABS('Cash Flow'!D18-D33)&lt;0.01</f>
        <v>1</v>
      </c>
      <c r="E34" s="39" t="b">
        <f aca="false">ABS('Cash Flow'!E18-E33)&lt;0.01</f>
        <v>1</v>
      </c>
      <c r="F34" s="39" t="b">
        <f aca="false">ABS('Cash Flow'!F18-F33)&lt;0.01</f>
        <v>1</v>
      </c>
      <c r="G34" s="39" t="b">
        <f aca="false">ABS('Cash Flow'!G18-G33)&lt;0.01</f>
        <v>1</v>
      </c>
    </row>
    <row r="35" customFormat="false" ht="15" hidden="false" customHeight="false" outlineLevel="0" collapsed="false">
      <c r="A35" s="48" t="s">
        <v>844</v>
      </c>
      <c r="B35" s="17" t="s">
        <v>89</v>
      </c>
      <c r="C35" s="49" t="n">
        <v>53.819</v>
      </c>
      <c r="D35" s="49" t="n">
        <v>-429.195</v>
      </c>
      <c r="E35" s="49" t="n">
        <v>-149.185</v>
      </c>
      <c r="F35" s="49" t="n">
        <v>-509.548</v>
      </c>
      <c r="G35" s="49" t="n">
        <v>-128.449</v>
      </c>
    </row>
    <row r="36" customFormat="false" ht="15" hidden="false" customHeight="false" outlineLevel="0" collapsed="false">
      <c r="A36" s="4" t="s">
        <v>845</v>
      </c>
      <c r="B36" s="17"/>
      <c r="C36" s="39" t="b">
        <f aca="false">ABS('Cash Flow'!C26-C35)&lt;0.01</f>
        <v>1</v>
      </c>
      <c r="D36" s="39" t="b">
        <f aca="false">ABS('Cash Flow'!D26-D35)&lt;0.01</f>
        <v>1</v>
      </c>
      <c r="E36" s="39" t="b">
        <f aca="false">ABS('Cash Flow'!E26-E35)&lt;0.01</f>
        <v>1</v>
      </c>
      <c r="F36" s="39" t="b">
        <f aca="false">ABS('Cash Flow'!F26-F35)&lt;0.01</f>
        <v>1</v>
      </c>
      <c r="G36" s="39" t="b">
        <f aca="false">ABS('Cash Flow'!G26-G35)&lt;0.01</f>
        <v>1</v>
      </c>
    </row>
    <row r="37" customFormat="false" ht="15" hidden="false" customHeight="false" outlineLevel="0" collapsed="false">
      <c r="A37" s="48" t="s">
        <v>846</v>
      </c>
      <c r="B37" s="17" t="s">
        <v>89</v>
      </c>
      <c r="C37" s="49" t="n">
        <v>-754.21</v>
      </c>
      <c r="D37" s="49" t="n">
        <v>-1718.249</v>
      </c>
      <c r="E37" s="49" t="n">
        <v>-944.612</v>
      </c>
      <c r="F37" s="49" t="n">
        <v>-633.539</v>
      </c>
      <c r="G37" s="49" t="n">
        <v>-1170.768</v>
      </c>
    </row>
    <row r="38" customFormat="false" ht="15" hidden="false" customHeight="false" outlineLevel="0" collapsed="false">
      <c r="A38" s="4" t="s">
        <v>847</v>
      </c>
      <c r="B38" s="17"/>
      <c r="C38" s="39" t="b">
        <f aca="false">ABS('Cash Flow'!C38-C37)&lt;0.01</f>
        <v>1</v>
      </c>
      <c r="D38" s="39" t="b">
        <f aca="false">ABS('Cash Flow'!D38-D37)&lt;0.01</f>
        <v>1</v>
      </c>
      <c r="E38" s="39" t="b">
        <f aca="false">ABS('Cash Flow'!E38-E37)&lt;0.01</f>
        <v>1</v>
      </c>
      <c r="F38" s="39" t="b">
        <f aca="false">ABS('Cash Flow'!F38-F37)&lt;0.01</f>
        <v>1</v>
      </c>
      <c r="G38" s="39" t="b">
        <f aca="false">ABS('Cash Flow'!G38-G37)&lt;0.01</f>
        <v>1</v>
      </c>
    </row>
    <row r="39" customFormat="false" ht="15" hidden="false" customHeight="false" outlineLevel="0" collapsed="false">
      <c r="A39" s="48" t="s">
        <v>848</v>
      </c>
      <c r="B39" s="17" t="s">
        <v>434</v>
      </c>
      <c r="C39" s="97" t="n">
        <v>0.43</v>
      </c>
      <c r="D39" s="97" t="n">
        <v>0.72</v>
      </c>
      <c r="E39" s="97" t="n">
        <v>0.2</v>
      </c>
      <c r="F39" s="97" t="n">
        <v>0.38</v>
      </c>
      <c r="G39" s="97" t="n">
        <v>0.45</v>
      </c>
    </row>
    <row r="40" customFormat="false" ht="15" hidden="false" customHeight="false" outlineLevel="0" collapsed="false">
      <c r="A40" s="4" t="s">
        <v>849</v>
      </c>
      <c r="B40" s="17"/>
      <c r="C40" s="39" t="b">
        <f aca="false">ROUND('Income Statement'!C58,2)=C39</f>
        <v>1</v>
      </c>
      <c r="D40" s="39" t="b">
        <f aca="false">ROUND('Income Statement'!D58,2)=D39</f>
        <v>1</v>
      </c>
      <c r="E40" s="39" t="b">
        <f aca="false">ROUND('Income Statement'!E58,2)=E39</f>
        <v>1</v>
      </c>
      <c r="F40" s="39" t="b">
        <f aca="false">ROUND('Income Statement'!F58,2)=F39</f>
        <v>1</v>
      </c>
      <c r="G40" s="39" t="b">
        <f aca="false">ROUND('Income Statement'!G58,2)=G39</f>
        <v>1</v>
      </c>
    </row>
    <row r="42" customFormat="false" ht="15" hidden="false" customHeight="false" outlineLevel="0" collapsed="false">
      <c r="A42" s="13" t="s">
        <v>850</v>
      </c>
      <c r="C42" s="12" t="b">
        <f aca="false">Scenarios!G128</f>
        <v>1</v>
      </c>
    </row>
    <row r="43" customFormat="false" ht="15" hidden="false" customHeight="false" outlineLevel="0" collapsed="false">
      <c r="A43" s="13" t="s">
        <v>851</v>
      </c>
      <c r="C43" s="39" t="b">
        <f aca="false">ABS(SUM(DCF!D31:G31)-SUM('DCF Inputs'!I17:L17))&lt;0.01</f>
        <v>1</v>
      </c>
    </row>
    <row r="44" customFormat="false" ht="15" hidden="false" customHeight="false" outlineLevel="0" collapsed="false">
      <c r="A44" s="13" t="s">
        <v>852</v>
      </c>
      <c r="C44" s="39" t="b">
        <f aca="false">ABS(Sensitivity!D11-DCF!C53)&lt;0.005</f>
        <v>1</v>
      </c>
    </row>
    <row r="45" customFormat="false" ht="15" hidden="false" customHeight="false" outlineLevel="0" collapsed="false">
      <c r="A45" s="13" t="s">
        <v>853</v>
      </c>
      <c r="C45" s="39" t="b">
        <f aca="false">ABS(Sensitivity!D23-DCF!C53)&lt;0.005</f>
        <v>1</v>
      </c>
    </row>
    <row r="47" customFormat="false" ht="15" hidden="false" customHeight="false" outlineLevel="0" collapsed="false">
      <c r="A47" s="13" t="s">
        <v>854</v>
      </c>
      <c r="C47" s="98" t="b">
        <f aca="false">AND(C6:L6,C7:L7,C8:L8,C9:L9,C10:L10,C11:L11,C14:L14,C16:L16,C18:L18,C20:L20,C22:L22,C24:L24,C26:L26,C28:L28,C30:L30,C32:L32,C34:L34,C36:L36,C38:L38,C40:L40,C42:C45)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2026-10-25T07:06:42Z</dcterms:created>
  <dc:creator>openpyxl</dc:creator>
  <dc:description/>
  <dc:language>en-US</dc:language>
  <cp:lastModifiedBy/>
  <dcterms:modified xsi:type="dcterms:W3CDTF">2026-10-25T07:06:42Z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