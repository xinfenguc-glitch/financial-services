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Scenarios" sheetId="3" state="visible" r:id="rId5"/>
    <sheet name="Interim" sheetId="4" state="visible" r:id="rId6"/>
    <sheet name="Revenue Model" sheetId="5" state="visible" r:id="rId7"/>
    <sheet name="Income Statement" sheetId="6" state="visible" r:id="rId8"/>
    <sheet name="Balance Sheet" sheetId="7" state="visible" r:id="rId9"/>
    <sheet name="Cash Flow" sheetId="8" state="visible" r:id="rId10"/>
    <sheet name="DCF Inputs" sheetId="9" state="visible" r:id="rId11"/>
    <sheet name="DCF" sheetId="10" state="visible" r:id="rId12"/>
    <sheet name="Sensitivity" sheetId="11" state="visible" r:id="rId13"/>
    <sheet name="Comps" sheetId="12" state="visible" r:id="rId14"/>
    <sheet name="Valuation Summary" sheetId="13" state="visible" r:id="rId15"/>
    <sheet name="Checks" sheetId="14" state="visible" r:id="rId16"/>
  </sheets>
  <definedNames>
    <definedName function="false" hidden="false" name="AllChecksPass" vbProcedure="false">Checks!$C$20</definedName>
    <definedName function="false" hidden="false" name="DCF_ValuePerShare" vbProcedure="false">DCF!$C$49</definedName>
    <definedName function="false" hidden="false" name="DilutedShares" vbProcedure="false">Inputs!$C$17</definedName>
    <definedName function="false" hidden="false" name="FX_HKD_per_USD" vbProcedure="false">Inputs!$C$6</definedName>
    <definedName function="false" hidden="false" name="PriceTarget" vbProcedure="false">'Valuation Summary'!$C$9</definedName>
    <definedName function="false" hidden="false" name="ProFormaCash" vbProcedure="false">Inputs!$C$30</definedName>
    <definedName function="false" hidden="false" name="Rating" vbProcedure="false">'Valuation Summary'!$C$11</definedName>
    <definedName function="false" hidden="false" name="ScenarioSelector" vbProcedure="false">Scenarios!$C$4</definedName>
    <definedName function="false" hidden="false" name="SharePrice" vbProcedure="false">Inputs!$C$5</definedName>
    <definedName function="false" hidden="false" name="TerminalGrowth" vbProcedure="false">Inputs!$C$51</definedName>
    <definedName function="false" hidden="false" name="WACC" vbProcedure="false">Inputs!$C$50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<sst xmlns="http://schemas.openxmlformats.org/spreadsheetml/2006/main" count="994" uniqueCount="718">
  <si>
    <t xml:space="preserve">SHEIN Global Holdings Ltd (0625.HK) - Cover</t>
  </si>
  <si>
    <t xml:space="preserve">Initiation of coverage - earnings and valuation model. Prepared 30-Sep-2026. Not investment advice.</t>
  </si>
  <si>
    <t xml:space="preserve">Recommendation</t>
  </si>
  <si>
    <t xml:space="preserve">Rating</t>
  </si>
  <si>
    <t xml:space="preserve">12-month price target (HK$)</t>
  </si>
  <si>
    <t xml:space="preserve">Share price (HK$, 30-Sep-2026)</t>
  </si>
  <si>
    <t xml:space="preserve">Upside / (downside)</t>
  </si>
  <si>
    <t xml:space="preserve">Market cap, fully diluted (US$m)</t>
  </si>
  <si>
    <t xml:space="preserve">Pro forma unrestricted cash &amp; investments (US$m)</t>
  </si>
  <si>
    <t xml:space="preserve">Active scenario</t>
  </si>
  <si>
    <t xml:space="preserve">Model integrity (Checks tab)</t>
  </si>
  <si>
    <t xml:space="preserve">Tabs</t>
  </si>
  <si>
    <t xml:space="preserve">Inputs</t>
  </si>
  <si>
    <t xml:space="preserve">Market data, share count, pro forma cash bridge, WACC, price-target weights</t>
  </si>
  <si>
    <t xml:space="preserve">Scenarios</t>
  </si>
  <si>
    <t xml:space="preserve">Bull / Base / Bear drivers FY2027E-31E with live selector; scenario comparison</t>
  </si>
  <si>
    <t xml:space="preserve">Interim</t>
  </si>
  <si>
    <t xml:space="preserve">Quarterly / half-year actuals (1Q25-2Q26), 2H26E build, 30-Jun-2026 balance sheet</t>
  </si>
  <si>
    <t xml:space="preserve">Revenue Model</t>
  </si>
  <si>
    <t xml:space="preserve">Customers x frequency = orders; revenue by region, business model and category</t>
  </si>
  <si>
    <t xml:space="preserve">Income Statement</t>
  </si>
  <si>
    <t xml:space="preserve">IFRS P&amp;L FY2023A-FY2031E, non-IFRS adjusted earnings, per-share data</t>
  </si>
  <si>
    <t xml:space="preserve">Balance Sheet</t>
  </si>
  <si>
    <t xml:space="preserve">Full balance sheet, equity roll-forward (IPO conversion), working-capital drivers</t>
  </si>
  <si>
    <t xml:space="preserve">Cash Flow</t>
  </si>
  <si>
    <t xml:space="preserve">Cash-flow statement in company presentation; free cash flow</t>
  </si>
  <si>
    <t xml:space="preserve">DCF Inputs</t>
  </si>
  <si>
    <t xml:space="preserve">Unlevered FCF build incl. 2H26E stub</t>
  </si>
  <si>
    <t xml:space="preserve">DCF</t>
  </si>
  <si>
    <t xml:space="preserve">WACC, discounting, terminal value, EV-to-equity bridge</t>
  </si>
  <si>
    <t xml:space="preserve">Sensitivity</t>
  </si>
  <si>
    <t xml:space="preserve">WACC x g, growth x margin, P/E x EPS tables</t>
  </si>
  <si>
    <t xml:space="preserve">Comps</t>
  </si>
  <si>
    <t xml:space="preserve">11 listed peers with statistical summary and implied values</t>
  </si>
  <si>
    <t xml:space="preserve">Valuation Summary</t>
  </si>
  <si>
    <t xml:space="preserve">Price target, rating, football field, key financials</t>
  </si>
  <si>
    <t xml:space="preserve">Checks</t>
  </si>
  <si>
    <t xml:space="preserve">Balance, cash and tie-out checks</t>
  </si>
  <si>
    <t xml:space="preserve">Colour legend</t>
  </si>
  <si>
    <t xml:space="preserve">Blue</t>
  </si>
  <si>
    <t xml:space="preserve">Hard-coded historical data or assumption (change me)</t>
  </si>
  <si>
    <t xml:space="preserve">Black</t>
  </si>
  <si>
    <t xml:space="preserve">Formula / calculation</t>
  </si>
  <si>
    <t xml:space="preserve">Green</t>
  </si>
  <si>
    <t xml:space="preserve">Direct link to another tab</t>
  </si>
  <si>
    <t xml:space="preserve">Sources</t>
  </si>
  <si>
    <t xml:space="preserve">[1]</t>
  </si>
  <si>
    <t xml:space="preserve">SHEIN Global Holdings Ltd Global Offering prospectus, 24-Aug-2026 (HKEX: 2026082400019)</t>
  </si>
  <si>
    <t xml:space="preserve">[2]</t>
  </si>
  <si>
    <t xml:space="preserve">Announcement of final offer price and allotment results, 31-Aug-2026 (HKEX: 2026083102409)</t>
  </si>
  <si>
    <t xml:space="preserve">[3]</t>
  </si>
  <si>
    <t xml:space="preserve">Stabilising actions and lapse of over-allotment option, 27-Sep-2026 (HKEX: 2026092700013)</t>
  </si>
  <si>
    <t xml:space="preserve">[4]</t>
  </si>
  <si>
    <t xml:space="preserve">2026 Interim Report, 28-Sep-2026 (HKEX: 2026092801831)</t>
  </si>
  <si>
    <t xml:space="preserve">[5]</t>
  </si>
  <si>
    <t xml:space="preserve">Market prices and peer multiples: stockanalysis.com, 29/30-Sep-2026 closes; FX approximate</t>
  </si>
  <si>
    <t xml:space="preserve">[6]</t>
  </si>
  <si>
    <t xml:space="preserve">All forecasts are analyst estimates; units US$m unless stated; fiscal year ends 31 December</t>
  </si>
  <si>
    <t xml:space="preserve">SHEIN Global Holdings Ltd (0625.HK) - Inputs</t>
  </si>
  <si>
    <t xml:space="preserve">Market data, capital structure and valuation inputs. Blue = input.</t>
  </si>
  <si>
    <t xml:space="preserve">Market data (close of 30-Sep-2026)</t>
  </si>
  <si>
    <t xml:space="preserve">Share price</t>
  </si>
  <si>
    <t xml:space="preserve">HK$</t>
  </si>
  <si>
    <t xml:space="preserve">Close 30-Sep-2026 (stockanalysis.com / HKEX)</t>
  </si>
  <si>
    <t xml:space="preserve">HK$ per US$</t>
  </si>
  <si>
    <t xml:space="preserve">HK$/US$</t>
  </si>
  <si>
    <t xml:space="preserve">HK$48.56 = US$6.19 per 2026 Interim Report note 28</t>
  </si>
  <si>
    <t xml:space="preserve">IPO offer price (1-Sep-2026 listing)</t>
  </si>
  <si>
    <t xml:space="preserve">Allotment results announcement, 31-Aug-2026</t>
  </si>
  <si>
    <t xml:space="preserve">IPO indicative range - low</t>
  </si>
  <si>
    <t xml:space="preserve">Prospectus cover</t>
  </si>
  <si>
    <t xml:space="preserve">IPO indicative range - high</t>
  </si>
  <si>
    <t xml:space="preserve">High since listing</t>
  </si>
  <si>
    <t xml:space="preserve">1-Sep-2026 open</t>
  </si>
  <si>
    <t xml:space="preserve">Low since listing</t>
  </si>
  <si>
    <t xml:space="preserve">30-Sep-2026 intraday low</t>
  </si>
  <si>
    <t xml:space="preserve">Valuation date</t>
  </si>
  <si>
    <t xml:space="preserve">date</t>
  </si>
  <si>
    <t xml:space="preserve">Share count (m shares)</t>
  </si>
  <si>
    <t xml:space="preserve">Shares in issue at listing (Class A + Class B)</t>
  </si>
  <si>
    <t xml:space="preserve">m</t>
  </si>
  <si>
    <t xml:space="preserve">Allotment results; over-allotment option lapsed 26-Sep-2026</t>
  </si>
  <si>
    <t xml:space="preserve">Pre-IPO ESOP options outstanding (near-nil strike)</t>
  </si>
  <si>
    <t xml:space="preserve">2026 Interim Report - Share Schemes</t>
  </si>
  <si>
    <t xml:space="preserve">Pre-IPO ESOP RSUs outstanding</t>
  </si>
  <si>
    <t xml:space="preserve">Fully diluted shares</t>
  </si>
  <si>
    <t xml:space="preserve">Treasury method ~ full count given near-nil strikes</t>
  </si>
  <si>
    <t xml:space="preserve">Annual dilution from post-IPO share scheme</t>
  </si>
  <si>
    <t xml:space="preserve">%</t>
  </si>
  <si>
    <t xml:space="preserve">Analyst assumption</t>
  </si>
  <si>
    <t xml:space="preserve">Market cap (fully diluted)</t>
  </si>
  <si>
    <t xml:space="preserve">HK$m</t>
  </si>
  <si>
    <t xml:space="preserve">US$m</t>
  </si>
  <si>
    <t xml:space="preserve">Pro forma cash bridge at listing (US$m)</t>
  </si>
  <si>
    <t xml:space="preserve">Cash resources, 30-Jun-2026 (cash, restricted, ST inv.)</t>
  </si>
  <si>
    <t xml:space="preserve">2026 Interim Report</t>
  </si>
  <si>
    <t xml:space="preserve">Less: restricted cash (current + non-current)</t>
  </si>
  <si>
    <t xml:space="preserve">IPO net proceeds</t>
  </si>
  <si>
    <t xml:space="preserve">Allotment results announcement</t>
  </si>
  <si>
    <t xml:space="preserve">Conversion Adjustment cash paid to Series Pre-D/D/D+ holders</t>
  </si>
  <si>
    <t xml:space="preserve">Interim Report note 15 (paid at listing)</t>
  </si>
  <si>
    <t xml:space="preserve">8% p.a. distribution to preferred holders (total, 2026)</t>
  </si>
  <si>
    <t xml:space="preserve">US$725m paid 1H26 + US$357m in 2H26</t>
  </si>
  <si>
    <t xml:space="preserve">  of which unpaid at 30-Jun-2026</t>
  </si>
  <si>
    <t xml:space="preserve">Accrued at 30-Jun-2026</t>
  </si>
  <si>
    <t xml:space="preserve">12% p.a. distribution (5-Mar-2026 to listing)</t>
  </si>
  <si>
    <t xml:space="preserve">Prospectus: est. US$230.4m; paid Sep-2026</t>
  </si>
  <si>
    <t xml:space="preserve">Pro forma unrestricted cash &amp; investments</t>
  </si>
  <si>
    <t xml:space="preserve">Less: minimum operating cash (analyst)</t>
  </si>
  <si>
    <t xml:space="preserve">~3.5% of revenue; supports negative working-capital model</t>
  </si>
  <si>
    <t xml:space="preserve">Less: regulatory contingency reserve (analyst)</t>
  </si>
  <si>
    <t xml:space="preserve">EU DSA, FTC, CNIL appeal, Irish DPC exposure</t>
  </si>
  <si>
    <t xml:space="preserve">Plus: associates &amp; FVTPL investments (book)</t>
  </si>
  <si>
    <t xml:space="preserve">Memo: lease liabilities (not deducted; lease cost in FCFF)</t>
  </si>
  <si>
    <t xml:space="preserve">Net cash used in valuation</t>
  </si>
  <si>
    <t xml:space="preserve">Preferred-share conversion at listing (1-Sep-2026)</t>
  </si>
  <si>
    <t xml:space="preserve">Ordinary shares in issue before IPO (post 1:50 split)</t>
  </si>
  <si>
    <t xml:space="preserve">51,370,116 pre-split (Interim Report note 14)</t>
  </si>
  <si>
    <t xml:space="preserve">New Class B shares issued in the Global Offering</t>
  </si>
  <si>
    <t xml:space="preserve">Allotment results</t>
  </si>
  <si>
    <t xml:space="preserve">Class B shares issued on conversion (incl. 19.6m adjustment shares)</t>
  </si>
  <si>
    <t xml:space="preserve">Carrying value of preferred shares, 30-Jun-2026</t>
  </si>
  <si>
    <t xml:space="preserve">Interim Report</t>
  </si>
  <si>
    <t xml:space="preserve">Fair value at conversion: shares at IPO price + cash compensation + 12% distribution</t>
  </si>
  <si>
    <t xml:space="preserve">Estimated 2H26 non-cash FV gain on remeasurement at conversion</t>
  </si>
  <si>
    <t xml:space="preserve">Analyst estimate; excluded from adjusted earnings</t>
  </si>
  <si>
    <t xml:space="preserve">Discount rate</t>
  </si>
  <si>
    <t xml:space="preserve">Risk-free rate</t>
  </si>
  <si>
    <t xml:space="preserve">Matches 4.00% used in 30-Jun-2026 preferred-share valuation</t>
  </si>
  <si>
    <t xml:space="preserve">Equity beta</t>
  </si>
  <si>
    <t xml:space="preserve">x</t>
  </si>
  <si>
    <t xml:space="preserve">HK-listed consumer internet peers; 40% implied vol.</t>
  </si>
  <si>
    <t xml:space="preserve">Equity risk premium (incl. China/geo-policy premium)</t>
  </si>
  <si>
    <t xml:space="preserve">Cost of equity</t>
  </si>
  <si>
    <t xml:space="preserve">CAPM</t>
  </si>
  <si>
    <t xml:space="preserve">Target debt / capital</t>
  </si>
  <si>
    <t xml:space="preserve">Debt-free balance sheet</t>
  </si>
  <si>
    <t xml:space="preserve">After-tax cost of debt</t>
  </si>
  <si>
    <t xml:space="preserve">Not used at 0% gearing</t>
  </si>
  <si>
    <t xml:space="preserve">WACC</t>
  </si>
  <si>
    <t xml:space="preserve">Terminal growth rate</t>
  </si>
  <si>
    <t xml:space="preserve">Global online fashion market 2025-30E CAGR 5.5% (CIC); nominal GDP-like</t>
  </si>
  <si>
    <t xml:space="preserve">Tax rate on EBIT (DCF)</t>
  </si>
  <si>
    <t xml:space="preserve">Pillar 2 floor 15%; US/EU higher; FY25 core ETR 20.6%</t>
  </si>
  <si>
    <t xml:space="preserve">Price target methodology</t>
  </si>
  <si>
    <t xml:space="preserve">Target P/E on FY2027E adj. EPS</t>
  </si>
  <si>
    <t xml:space="preserve">Between China platforms (~7x) and global apparel (~21x)</t>
  </si>
  <si>
    <t xml:space="preserve">Weight: DCF</t>
  </si>
  <si>
    <t xml:space="preserve">Weight: P/E</t>
  </si>
  <si>
    <t xml:space="preserve">BUY if 12m upside above</t>
  </si>
  <si>
    <t xml:space="preserve">SELL if 12m upside below</t>
  </si>
  <si>
    <t xml:space="preserve">Capital return</t>
  </si>
  <si>
    <t xml:space="preserve">Dividend payout (% of adj. net income, paid following year)</t>
  </si>
  <si>
    <t xml:space="preserve">Policy: &gt;=50% of net profit (Prospectus)</t>
  </si>
  <si>
    <t xml:space="preserve">SHEIN Global Holdings Ltd (0625.HK) - Scenarios</t>
  </si>
  <si>
    <t xml:space="preserve">Operating drivers by scenario for FY2027E-FY2031E. Change C4 to switch the whole model.</t>
  </si>
  <si>
    <t xml:space="preserve">Active scenario  (1 = Bull, 2 = Base, 3 = Bear)</t>
  </si>
  <si>
    <t xml:space="preserve">Case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</si>
  <si>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</si>
  <si>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</si>
  <si>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</si>
  <si>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</si>
  <si>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</si>
  <si>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US net revenue growth (YoY)</t>
  </si>
  <si>
    <t xml:space="preserve">Bull</t>
  </si>
  <si>
    <t xml:space="preserve">Base</t>
  </si>
  <si>
    <t xml:space="preserve">Bear</t>
  </si>
  <si>
    <t xml:space="preserve">Selected</t>
  </si>
  <si>
    <t xml:space="preserve">Base: 1H26 -9.9%; de minimis base effect fades 2027; Everlane consolidated</t>
  </si>
  <si>
    <t xml:space="preserve">Europe net revenue growth (YoY)</t>
  </si>
  <si>
    <t xml:space="preserve">EUR 3/item duty from 1-Jul-2026 + handling fee; 2Q26 -13.9%; 1H27 laps pre-duty base</t>
  </si>
  <si>
    <t xml:space="preserve">Rest of world net revenue growth (YoY)</t>
  </si>
  <si>
    <t xml:space="preserve">2Q26 +21.6% (LatAm-led) despite Middle East drag</t>
  </si>
  <si>
    <t xml:space="preserve">Service (marketplace) revenue % of net revenues</t>
  </si>
  <si>
    <t xml:space="preserve">Mgmt: 1P remains core; marketplace mix 13.4% in 1H26</t>
  </si>
  <si>
    <t xml:space="preserve">Cost of sales % of product revenue</t>
  </si>
  <si>
    <t xml:space="preserve">1H26 34.6%; FY25 36.2%; higher price-point brands a partial offset</t>
  </si>
  <si>
    <t xml:space="preserve">Fulfilment expenses % of net revenues</t>
  </si>
  <si>
    <t xml:space="preserve">Duties booked in fulfilment; freight normalises; local inventory adds cost near term</t>
  </si>
  <si>
    <t xml:space="preserve">Marketing expenses % of net revenues</t>
  </si>
  <si>
    <t xml:space="preserve">FY25 14.8%; 1H26 14.6%; IPO proceeds 40% earmarked for brand</t>
  </si>
  <si>
    <t xml:space="preserve">Technology &amp; content % of net revenues</t>
  </si>
  <si>
    <t xml:space="preserve">IPO proceeds 40% earmarked for tech</t>
  </si>
  <si>
    <t xml:space="preserve">G&amp;A % of net revenues</t>
  </si>
  <si>
    <t xml:space="preserve">Public-company costs</t>
  </si>
  <si>
    <t xml:space="preserve">Active customer growth (YoY)</t>
  </si>
  <si>
    <t xml:space="preserve">LTM Jun-26: 291m (+14.6%)</t>
  </si>
  <si>
    <t xml:space="preserve">Orders per active customer (x)</t>
  </si>
  <si>
    <t xml:space="preserve">FY23 3.8 / FY24 4.0 / FY25 4.0 / LTM Mar-26 3.9</t>
  </si>
  <si>
    <t xml:space="preserve">Scenario comparison (full-model outputs)</t>
  </si>
  <si>
    <t xml:space="preserve">Selected (live)</t>
  </si>
  <si>
    <t xml:space="preserve">FY2027E net revenues (US$m)</t>
  </si>
  <si>
    <t xml:space="preserve">FY2031E net revenues (US$m)</t>
  </si>
  <si>
    <t xml:space="preserve">Revenue CAGR FY2026E-31E</t>
  </si>
  <si>
    <t xml:space="preserve">FY2027E adj. EBIT margin</t>
  </si>
  <si>
    <t xml:space="preserve">FY2031E adj. EBIT margin</t>
  </si>
  <si>
    <t xml:space="preserve">FY2027E adj. net income (US$m)</t>
  </si>
  <si>
    <t xml:space="preserve">FY2027E adj. EPS (HK$)</t>
  </si>
  <si>
    <t xml:space="preserve">FY2031E adj. net income (US$m)</t>
  </si>
  <si>
    <t xml:space="preserve">Cumulative FCFF 2H26E-FY2031E (US$m)</t>
  </si>
  <si>
    <t xml:space="preserve">DCF value per share (HK$)</t>
  </si>
  <si>
    <t xml:space="preserve">P/E value per share (HK$) @ target P/E</t>
  </si>
  <si>
    <t xml:space="preserve">Blended value per share (HK$)</t>
  </si>
  <si>
    <t xml:space="preserve">vs. current price</t>
  </si>
  <si>
    <t xml:space="preserve">Bull / Base / Bear columns are values recorded by re-running the full model with the selector set to 1 / 2 / 3; the 'Selected (live)' column recalculates.</t>
  </si>
  <si>
    <t xml:space="preserve">SHEIN Global Holdings Ltd (0625.HK) - Interim</t>
  </si>
  <si>
    <t xml:space="preserve">Quarterly and half-year actuals (unaudited except FY/3M audited), 2H26E build, balance sheet at 30-Jun-2026.</t>
  </si>
  <si>
    <t xml:space="preserve">US$m unless stated</t>
  </si>
  <si>
    <t xml:space="preserve">1Q25A</t>
  </si>
  <si>
    <t xml:space="preserve">2Q25A</t>
  </si>
  <si>
    <t xml:space="preserve">1H25A</t>
  </si>
  <si>
    <t xml:space="preserve">2H25A</t>
  </si>
  <si>
    <t xml:space="preserve">FY2025A</t>
  </si>
  <si>
    <t xml:space="preserve">1Q26A</t>
  </si>
  <si>
    <t xml:space="preserve">2Q26A</t>
  </si>
  <si>
    <t xml:space="preserve">1H26A</t>
  </si>
  <si>
    <t xml:space="preserve">2H26E</t>
  </si>
  <si>
    <t xml:space="preserve">FY2026E</t>
  </si>
  <si>
    <t xml:space="preserve">2H26E driver</t>
  </si>
  <si>
    <t xml:space="preserve">Net revenues by region (US$m)</t>
  </si>
  <si>
    <t xml:space="preserve">United States</t>
  </si>
  <si>
    <t xml:space="preserve">2H26E: 2Q26 -6.0%; early-3Q US sales &gt;10% lower (Jefferies)</t>
  </si>
  <si>
    <t xml:space="preserve">Europe</t>
  </si>
  <si>
    <t xml:space="preserve">2H26E: EUR 150 exemption removed 1-Jul-2026; price rises + lower ad spend</t>
  </si>
  <si>
    <t xml:space="preserve">Rest of world</t>
  </si>
  <si>
    <t xml:space="preserve">2H26E: LatAm strength; Middle East still soft</t>
  </si>
  <si>
    <t xml:space="preserve">Total net revenues</t>
  </si>
  <si>
    <t xml:space="preserve">US YoY</t>
  </si>
  <si>
    <t xml:space="preserve">Europe YoY</t>
  </si>
  <si>
    <t xml:space="preserve">Rest of world YoY</t>
  </si>
  <si>
    <t xml:space="preserve">Total YoY</t>
  </si>
  <si>
    <t xml:space="preserve">Net revenues by type (US$m)</t>
  </si>
  <si>
    <t xml:space="preserve">Product revenues (first-party)</t>
  </si>
  <si>
    <t xml:space="preserve">Service revenues (marketplace &amp; brand enablement)</t>
  </si>
  <si>
    <t xml:space="preserve">Service % of net revenues</t>
  </si>
  <si>
    <t xml:space="preserve">Product revenues YoY</t>
  </si>
  <si>
    <t xml:space="preserve">Service revenues YoY</t>
  </si>
  <si>
    <t xml:space="preserve">Operating KPIs</t>
  </si>
  <si>
    <t xml:space="preserve">Total orders (m)</t>
  </si>
  <si>
    <t xml:space="preserve">Orders YoY</t>
  </si>
  <si>
    <t xml:space="preserve">1H26 +6.4%, 2Q26 +7.6%</t>
  </si>
  <si>
    <t xml:space="preserve">Net revenue per order (US$)</t>
  </si>
  <si>
    <t xml:space="preserve">Active customers, trailing 12 months (m)</t>
  </si>
  <si>
    <t xml:space="preserve">Income statement (US$m)</t>
  </si>
  <si>
    <t xml:space="preserve">Cost of sales</t>
  </si>
  <si>
    <t xml:space="preserve">  % of product revenues</t>
  </si>
  <si>
    <t xml:space="preserve">Gross profit</t>
  </si>
  <si>
    <t xml:space="preserve">  Gross margin</t>
  </si>
  <si>
    <t xml:space="preserve">Fulfilment expenses</t>
  </si>
  <si>
    <t xml:space="preserve">  % of net revenues</t>
  </si>
  <si>
    <t xml:space="preserve">  per order (US$)</t>
  </si>
  <si>
    <t xml:space="preserve">Marketing expenses</t>
  </si>
  <si>
    <t xml:space="preserve">Technology &amp; content</t>
  </si>
  <si>
    <t xml:space="preserve">General &amp; administrative</t>
  </si>
  <si>
    <t xml:space="preserve">Operating income</t>
  </si>
  <si>
    <t xml:space="preserve">  Operating margin</t>
  </si>
  <si>
    <t xml:space="preserve">Share-based compensation (in opex)</t>
  </si>
  <si>
    <t xml:space="preserve">Adjusted EBIT (non-IFRS)</t>
  </si>
  <si>
    <t xml:space="preserve">  Adjusted EBIT margin</t>
  </si>
  <si>
    <t xml:space="preserve">FV changes of convertible redeemable preferred shares</t>
  </si>
  <si>
    <t xml:space="preserve">2H26E: remeasurement to conversion value at listing (Inputs); non-cash, excluded from adj. NI</t>
  </si>
  <si>
    <t xml:space="preserve">Share of income/(losses) from associates</t>
  </si>
  <si>
    <t xml:space="preserve">Interest yield on cash resources (annualised, 2H26E driver)</t>
  </si>
  <si>
    <t xml:space="preserve">Interest income</t>
  </si>
  <si>
    <t xml:space="preserve">Exchange gain/(loss)</t>
  </si>
  <si>
    <t xml:space="preserve">Others, net (incl. lease interest)</t>
  </si>
  <si>
    <t xml:space="preserve">Income before income taxes</t>
  </si>
  <si>
    <t xml:space="preserve">Income tax expense</t>
  </si>
  <si>
    <t xml:space="preserve">  Effective tax rate (ex FV changes &amp; associates)</t>
  </si>
  <si>
    <t xml:space="preserve">Net income (IFRS)</t>
  </si>
  <si>
    <t xml:space="preserve">Other non-IFRS adjustments (impairment / FV on LT investments)</t>
  </si>
  <si>
    <t xml:space="preserve">Adjusted net income (non-IFRS)</t>
  </si>
  <si>
    <t xml:space="preserve">  Adjusted net margin</t>
  </si>
  <si>
    <t xml:space="preserve">Half-year cash flow items (US$m)</t>
  </si>
  <si>
    <t xml:space="preserve">D&amp;A of property, equipment &amp; intangibles</t>
  </si>
  <si>
    <t xml:space="preserve">Depreciation of right-of-use assets</t>
  </si>
  <si>
    <t xml:space="preserve">Capital expenditure (PP&amp;E and land use rights)</t>
  </si>
  <si>
    <t xml:space="preserve">Net cash from operating activities (reported)</t>
  </si>
  <si>
    <t xml:space="preserve">Balance sheet (US$m): column F = 31-Dec-2025 (audited), column I = 30-Jun-2026 (unaudited)</t>
  </si>
  <si>
    <t xml:space="preserve">Cash and cash equivalents</t>
  </si>
  <si>
    <t xml:space="preserve">Restricted cash (current)</t>
  </si>
  <si>
    <t xml:space="preserve">Restricted cash (non-current)</t>
  </si>
  <si>
    <t xml:space="preserve">Short-term investments</t>
  </si>
  <si>
    <t xml:space="preserve">Receivables from payment platforms &amp; service providers</t>
  </si>
  <si>
    <t xml:space="preserve">Other receivables and prepayments</t>
  </si>
  <si>
    <t xml:space="preserve">Inventories</t>
  </si>
  <si>
    <t xml:space="preserve">Other current assets</t>
  </si>
  <si>
    <t xml:space="preserve">Intangible assets (incl. Everlane goodwill)</t>
  </si>
  <si>
    <t xml:space="preserve">Deferred tax assets</t>
  </si>
  <si>
    <t xml:space="preserve">Investments in associates</t>
  </si>
  <si>
    <t xml:space="preserve">Investments at FVTPL</t>
  </si>
  <si>
    <t xml:space="preserve">Other non-current assets</t>
  </si>
  <si>
    <t xml:space="preserve">Accounts payable</t>
  </si>
  <si>
    <t xml:space="preserve">Accrued expenses &amp; other current liabilities (reported)</t>
  </si>
  <si>
    <t xml:space="preserve">  of which: current lease liabilities</t>
  </si>
  <si>
    <t xml:space="preserve">  of which: distribution payable to preferred holders</t>
  </si>
  <si>
    <t xml:space="preserve">Contract liabilities</t>
  </si>
  <si>
    <t xml:space="preserve">Income tax payable</t>
  </si>
  <si>
    <t xml:space="preserve">Convertible redeemable preferred shares</t>
  </si>
  <si>
    <t xml:space="preserve">Lease liabilities (current + non-current)</t>
  </si>
  <si>
    <t xml:space="preserve">Deferred tax liabilities</t>
  </si>
  <si>
    <t xml:space="preserve">Other long-term liabilities</t>
  </si>
  <si>
    <t xml:space="preserve">Total shareholders' deficit</t>
  </si>
  <si>
    <t xml:space="preserve">Cash resources (cash + restricted + ST investments)</t>
  </si>
  <si>
    <t xml:space="preserve">Operating net working capital</t>
  </si>
  <si>
    <t xml:space="preserve">Excludes tax payable, lease liabilities and preferred-share distributions</t>
  </si>
  <si>
    <t xml:space="preserve">SHEIN Global Holdings Ltd (0625.HK) - Revenue Model</t>
  </si>
  <si>
    <t xml:space="preserve">Revenue build: customers x order frequency; revenue by region, business model and category.</t>
  </si>
  <si>
    <t xml:space="preserve">FY2023A</t>
  </si>
  <si>
    <t xml:space="preserve">FY2024A</t>
  </si>
  <si>
    <t xml:space="preserve">Customer &amp; order KPIs</t>
  </si>
  <si>
    <t xml:space="preserve">Active customers (m)</t>
  </si>
  <si>
    <t xml:space="preserve">FY26E: LTM Jun-26 already 291m</t>
  </si>
  <si>
    <t xml:space="preserve">  YoY growth</t>
  </si>
  <si>
    <t xml:space="preserve">Diluted by marketplace mix (service revenue = take rate only)</t>
  </si>
  <si>
    <t xml:space="preserve">Net revenue per active customer (US$)</t>
  </si>
  <si>
    <t xml:space="preserve">Net revenues by geography (US$m)</t>
  </si>
  <si>
    <t xml:space="preserve">Rest of world (LatAm, Middle East, APAC &amp; other)</t>
  </si>
  <si>
    <t xml:space="preserve">Memo: net revenues outside the US</t>
  </si>
  <si>
    <t xml:space="preserve">Net revenues by business model (US$m)</t>
  </si>
  <si>
    <t xml:space="preserve">Service revenues % of total</t>
  </si>
  <si>
    <t xml:space="preserve">Service revenues (marketplace commissions, fulfilment &amp; brand-enablement fees)</t>
  </si>
  <si>
    <t xml:space="preserve">Product revenues (first-party, own &amp; partner brands)</t>
  </si>
  <si>
    <t xml:space="preserve">Assumed blended marketplace take rate (analyst estimate)</t>
  </si>
  <si>
    <t xml:space="preserve">Commission 10-20% of transaction value + fulfilment fees (Prospectus); not disclosed</t>
  </si>
  <si>
    <t xml:space="preserve">Memo: implied marketplace GMV (illustrative)</t>
  </si>
  <si>
    <t xml:space="preserve">Memo: implied gross sales (1P revenue + marketplace GMV)</t>
  </si>
  <si>
    <t xml:space="preserve">Net revenues by category (US$m)</t>
  </si>
  <si>
    <t xml:space="preserve">Apparel % of net revenues</t>
  </si>
  <si>
    <t xml:space="preserve">Category diversification (home, beauty, kids, sport); Q1'26 61.4%</t>
  </si>
  <si>
    <t xml:space="preserve">Apparel</t>
  </si>
  <si>
    <t xml:space="preserve">Other categories (footwear, accessories, beauty, home &amp; lifestyle)</t>
  </si>
  <si>
    <t xml:space="preserve">Integrity checks (should be zero)</t>
  </si>
  <si>
    <t xml:space="preserve">Geography total less business-model total</t>
  </si>
  <si>
    <t xml:space="preserve">Geography total less category total</t>
  </si>
  <si>
    <t xml:space="preserve">SHEIN Global Holdings Ltd (0625.HK) - Income Statement</t>
  </si>
  <si>
    <t xml:space="preserve">IFRS income statement (function of expense) with non-IFRS adjusted earnings. FY2026E = 1H26A + 2H26E.</t>
  </si>
  <si>
    <t xml:space="preserve">Net revenues (US$m)</t>
  </si>
  <si>
    <t xml:space="preserve">Net revenues</t>
  </si>
  <si>
    <t xml:space="preserve">  Product revenues</t>
  </si>
  <si>
    <t xml:space="preserve">  Service revenues</t>
  </si>
  <si>
    <t xml:space="preserve">Operating expenses (US$m; shown as positive costs)</t>
  </si>
  <si>
    <t xml:space="preserve">Fulfilment expenses (logistics, warehousing, duties on direct shipments)</t>
  </si>
  <si>
    <t xml:space="preserve">Contribution after fulfilment</t>
  </si>
  <si>
    <t xml:space="preserve">  Contribution margin</t>
  </si>
  <si>
    <t xml:space="preserve">Technology &amp; content expenses</t>
  </si>
  <si>
    <t xml:space="preserve">General &amp; administrative expenses</t>
  </si>
  <si>
    <t xml:space="preserve">Total operating expenses</t>
  </si>
  <si>
    <t xml:space="preserve">Operating income (EBIT, IFRS)</t>
  </si>
  <si>
    <t xml:space="preserve">Share-based compensation (included above)</t>
  </si>
  <si>
    <t xml:space="preserve">Post-IPO share scheme grants</t>
  </si>
  <si>
    <t xml:space="preserve">D&amp;A of PP&amp;E and intangibles, % of revenues</t>
  </si>
  <si>
    <t xml:space="preserve">Right-of-use depreciation, % of revenues</t>
  </si>
  <si>
    <t xml:space="preserve">Depreciation of right-of-use assets (warehouse &amp; office leases)</t>
  </si>
  <si>
    <t xml:space="preserve">EBITDA (IFRS 16)</t>
  </si>
  <si>
    <t xml:space="preserve">  EBITDA margin</t>
  </si>
  <si>
    <t xml:space="preserve">Adjusted EBITDA (ex SBC)</t>
  </si>
  <si>
    <t xml:space="preserve">  Adjusted EBITDA margin</t>
  </si>
  <si>
    <t xml:space="preserve">Non-operating items (US$m)</t>
  </si>
  <si>
    <t xml:space="preserve">Preferred shares converted to Class B at listing (1-Sep-2026)</t>
  </si>
  <si>
    <t xml:space="preserve">Mainly SPARC Group (Forever 21 / brands JV)</t>
  </si>
  <si>
    <t xml:space="preserve">Interest yield on opening cash resources</t>
  </si>
  <si>
    <t xml:space="preserve">Hist./FY26E: on average balance</t>
  </si>
  <si>
    <t xml:space="preserve">Others, net as % of revenues</t>
  </si>
  <si>
    <t xml:space="preserve">Others, net (lease interest, FV of investments, credit losses)</t>
  </si>
  <si>
    <t xml:space="preserve">  Net margin</t>
  </si>
  <si>
    <t xml:space="preserve">Non-IFRS adjusted earnings (company definition)</t>
  </si>
  <si>
    <t xml:space="preserve">Impairment / FV changes on long-term investments</t>
  </si>
  <si>
    <t xml:space="preserve">FY24: US$55m impairment less US$112m FV gain</t>
  </si>
  <si>
    <t xml:space="preserve">Adjusted net income</t>
  </si>
  <si>
    <t xml:space="preserve">NI + SBC - FV of prefs - associates +/- LT investment items</t>
  </si>
  <si>
    <t xml:space="preserve">Per-share data (pro forma post-IPO share base, all years)</t>
  </si>
  <si>
    <t xml:space="preserve">Basic shares (m)</t>
  </si>
  <si>
    <t xml:space="preserve">Diluted shares (m)</t>
  </si>
  <si>
    <t xml:space="preserve">Diluted EPS, IFRS (US$)</t>
  </si>
  <si>
    <t xml:space="preserve">FY26E includes ~US$5.9bn non-cash FV gains on preferred shares (1H26A + 2H26E)</t>
  </si>
  <si>
    <t xml:space="preserve">Adjusted diluted EPS (US$)</t>
  </si>
  <si>
    <t xml:space="preserve">Adjusted diluted EPS (HK$)</t>
  </si>
  <si>
    <t xml:space="preserve">Dividend payout ratio (of adj. net income)</t>
  </si>
  <si>
    <t xml:space="preserve">Dividend declared in respect of year (US$m)</t>
  </si>
  <si>
    <t xml:space="preserve">First dividend expected with FY26 results; paid in FY27</t>
  </si>
  <si>
    <t xml:space="preserve">DPS declared (HK$)</t>
  </si>
  <si>
    <t xml:space="preserve">Valuation at current share price</t>
  </si>
  <si>
    <t xml:space="preserve">P/E on adjusted EPS (x)</t>
  </si>
  <si>
    <t xml:space="preserve">Dividend yield</t>
  </si>
  <si>
    <t xml:space="preserve">SHEIN Global Holdings Ltd (0625.HK) - Balance Sheet</t>
  </si>
  <si>
    <t xml:space="preserve">Consolidated balance sheet; FY2026E reflects preferred-share conversion, IPO proceeds and listing payments.</t>
  </si>
  <si>
    <t xml:space="preserve">Assets (US$m)</t>
  </si>
  <si>
    <t xml:space="preserve">Restricted cash</t>
  </si>
  <si>
    <t xml:space="preserve">Short-term investments (time deposits)</t>
  </si>
  <si>
    <t xml:space="preserve">Total current assets</t>
  </si>
  <si>
    <t xml:space="preserve">Property and equipment</t>
  </si>
  <si>
    <t xml:space="preserve">Right-of-use assets</t>
  </si>
  <si>
    <t xml:space="preserve">Intangible assets &amp; goodwill</t>
  </si>
  <si>
    <t xml:space="preserve">Non-current restricted cash</t>
  </si>
  <si>
    <t xml:space="preserve">Investments at fair value through profit or loss</t>
  </si>
  <si>
    <t xml:space="preserve">Long-term time deposits</t>
  </si>
  <si>
    <t xml:space="preserve">Total non-current assets</t>
  </si>
  <si>
    <t xml:space="preserve">Total assets</t>
  </si>
  <si>
    <t xml:space="preserve">Liabilities (US$m)</t>
  </si>
  <si>
    <t xml:space="preserve">Accrued expenses &amp; other current liabilities (ex lease)</t>
  </si>
  <si>
    <t xml:space="preserve">Reported line less current lease liabilities</t>
  </si>
  <si>
    <t xml:space="preserve">Lease liabilities - current</t>
  </si>
  <si>
    <t xml:space="preserve">Contract liabilities (customer prepayments)</t>
  </si>
  <si>
    <t xml:space="preserve">Convertible redeemable preferred shares - current</t>
  </si>
  <si>
    <t xml:space="preserve">Total current liabilities</t>
  </si>
  <si>
    <t xml:space="preserve">Convertible redeemable preferred shares - non-current</t>
  </si>
  <si>
    <t xml:space="preserve">Lease liabilities - non-current</t>
  </si>
  <si>
    <t xml:space="preserve">Total non-current liabilities</t>
  </si>
  <si>
    <t xml:space="preserve">Total liabilities</t>
  </si>
  <si>
    <t xml:space="preserve">Shareholders' equity (US$m)</t>
  </si>
  <si>
    <t xml:space="preserve">Total shareholders' equity / (deficit)</t>
  </si>
  <si>
    <t xml:space="preserve">Total liabilities &amp; shareholders' equity</t>
  </si>
  <si>
    <t xml:space="preserve">Balance check (assets less liabilities &amp; equity)</t>
  </si>
  <si>
    <t xml:space="preserve">Equity roll-forward (US$m)</t>
  </si>
  <si>
    <t xml:space="preserve">Opening equity</t>
  </si>
  <si>
    <t xml:space="preserve">  Net income</t>
  </si>
  <si>
    <t xml:space="preserve">  Share-based compensation</t>
  </si>
  <si>
    <t xml:space="preserve">  Conversion of preferred shares into Class B shares</t>
  </si>
  <si>
    <t xml:space="preserve">FY25 carrying value less 8% distributions less FY26E FV gains = fair value at conversion</t>
  </si>
  <si>
    <t xml:space="preserve">  Conversion Adjustment cash compensation</t>
  </si>
  <si>
    <t xml:space="preserve">  12% distribution to preferred holders</t>
  </si>
  <si>
    <t xml:space="preserve">  IPO net proceeds</t>
  </si>
  <si>
    <t xml:space="preserve">  Dividends paid</t>
  </si>
  <si>
    <t xml:space="preserve">  Other comprehensive income / other</t>
  </si>
  <si>
    <t xml:space="preserve">Closing equity</t>
  </si>
  <si>
    <t xml:space="preserve">Memo items (US$m)</t>
  </si>
  <si>
    <t xml:space="preserve">Total lease liabilities</t>
  </si>
  <si>
    <t xml:space="preserve">Cash resources (cash + restricted + ST &amp; LT deposits)</t>
  </si>
  <si>
    <t xml:space="preserve">Net cash after lease liabilities</t>
  </si>
  <si>
    <t xml:space="preserve">Negative = customers and suppliers fund the business</t>
  </si>
  <si>
    <t xml:space="preserve">Return on average equity (adj. NI)</t>
  </si>
  <si>
    <t xml:space="preserve">Balance sheet drivers</t>
  </si>
  <si>
    <t xml:space="preserve">Receivables days (on net revenues)</t>
  </si>
  <si>
    <t xml:space="preserve">Other receivables &amp; prepayments % revenues</t>
  </si>
  <si>
    <t xml:space="preserve">Inventory days (on cost of sales, year-end)</t>
  </si>
  <si>
    <t xml:space="preserve">Company-reported average turnover 34-38 days</t>
  </si>
  <si>
    <t xml:space="preserve">Other current assets % revenues</t>
  </si>
  <si>
    <t xml:space="preserve">Payable days (on cost of sales + fulfilment)</t>
  </si>
  <si>
    <t xml:space="preserve">Company-reported 32-34 days</t>
  </si>
  <si>
    <t xml:space="preserve">Accrued expenses (ex lease) % revenues</t>
  </si>
  <si>
    <t xml:space="preserve">Contract liabilities % revenues</t>
  </si>
  <si>
    <t xml:space="preserve">Income tax payable % revenues</t>
  </si>
  <si>
    <t xml:space="preserve">Right-of-use assets % revenues</t>
  </si>
  <si>
    <t xml:space="preserve">Current share of lease liabilities</t>
  </si>
  <si>
    <t xml:space="preserve">SHEIN Global Holdings Ltd (0625.HK) - Cash Flow</t>
  </si>
  <si>
    <t xml:space="preserve">Cash-flow statement (company presentation). Projections derived from balance-sheet movements.</t>
  </si>
  <si>
    <t xml:space="preserve">Operating activities (US$m; company presentation - interest received shown in investing)</t>
  </si>
  <si>
    <t xml:space="preserve">Inventory write-downs, credit losses, impairments &amp; other</t>
  </si>
  <si>
    <t xml:space="preserve">Interest expense on lease liabilities</t>
  </si>
  <si>
    <t xml:space="preserve">Projections: lease cost treated as operating</t>
  </si>
  <si>
    <t xml:space="preserve">Interest income (reclassified to investing)</t>
  </si>
  <si>
    <t xml:space="preserve">Share of (income)/losses from associates</t>
  </si>
  <si>
    <t xml:space="preserve">Share-based compensation</t>
  </si>
  <si>
    <t xml:space="preserve">Change in receivables from payment platforms</t>
  </si>
  <si>
    <t xml:space="preserve">Change in other receivables, prepayments &amp; other assets</t>
  </si>
  <si>
    <t xml:space="preserve">Change in inventories</t>
  </si>
  <si>
    <t xml:space="preserve">Change in accounts payable</t>
  </si>
  <si>
    <t xml:space="preserve">Change in contract liabilities</t>
  </si>
  <si>
    <t xml:space="preserve">Change in accrued expenses &amp; other current liabilities</t>
  </si>
  <si>
    <t xml:space="preserve">Change in other long-term liabilities &amp; deferred taxes</t>
  </si>
  <si>
    <t xml:space="preserve">Cash generated from operations</t>
  </si>
  <si>
    <t xml:space="preserve">Income taxes paid</t>
  </si>
  <si>
    <t xml:space="preserve">Net cash from operating activities</t>
  </si>
  <si>
    <t xml:space="preserve">Investing activities (US$m)</t>
  </si>
  <si>
    <t xml:space="preserve">Capex % of net revenues</t>
  </si>
  <si>
    <t xml:space="preserve">Warehouse automation; IPO proceeds 40% to technology</t>
  </si>
  <si>
    <t xml:space="preserve">Capital expenditure (PP&amp;E, land use rights)</t>
  </si>
  <si>
    <t xml:space="preserve">Interest received</t>
  </si>
  <si>
    <t xml:space="preserve">Net placement of short/long-term time deposits</t>
  </si>
  <si>
    <t xml:space="preserve">Acquisitions (Everlane), investments, loans &amp; other</t>
  </si>
  <si>
    <t xml:space="preserve">Net change in restricted cash</t>
  </si>
  <si>
    <t xml:space="preserve">Net cash used in investing activities</t>
  </si>
  <si>
    <t xml:space="preserve">Financing activities (US$m)</t>
  </si>
  <si>
    <t xml:space="preserve">Issuance of preferred shares, net of costs</t>
  </si>
  <si>
    <t xml:space="preserve">Distributions to preferred holders (8% and 12% p.a.)</t>
  </si>
  <si>
    <t xml:space="preserve">Conversion Adjustment cash compensation</t>
  </si>
  <si>
    <t xml:space="preserve">Lease payments (principal and interest)</t>
  </si>
  <si>
    <t xml:space="preserve">Dividends paid</t>
  </si>
  <si>
    <t xml:space="preserve">Other financing</t>
  </si>
  <si>
    <t xml:space="preserve">Net cash from/(used in) financing activities</t>
  </si>
  <si>
    <t xml:space="preserve">Effect of exchange rate changes</t>
  </si>
  <si>
    <t xml:space="preserve">Net change in cash and cash equivalents</t>
  </si>
  <si>
    <t xml:space="preserve">Cash and cash equivalents - beginning</t>
  </si>
  <si>
    <t xml:space="preserve">Cash and cash equivalents - ending</t>
  </si>
  <si>
    <t xml:space="preserve">Free cash flow (US$m)</t>
  </si>
  <si>
    <t xml:space="preserve">Free cash flow (CFO - capex - lease payments)</t>
  </si>
  <si>
    <t xml:space="preserve">Free cash flow incl. interest received</t>
  </si>
  <si>
    <t xml:space="preserve">  FCF (incl. interest) % of revenues</t>
  </si>
  <si>
    <t xml:space="preserve">  FCF (incl. interest) / adjusted net income</t>
  </si>
  <si>
    <t xml:space="preserve">  FCF yield on current market cap</t>
  </si>
  <si>
    <t xml:space="preserve">SHEIN Global Holdings Ltd (0625.HK) - DCF Inputs</t>
  </si>
  <si>
    <t xml:space="preserve">Unlevered free cash flow for the DCF. SBC treated as a real cost; lease payments as operating.</t>
  </si>
  <si>
    <t xml:space="preserve">2H26E stub</t>
  </si>
  <si>
    <t xml:space="preserve">Unlevered free cash flow build (US$m); column L = 2H26E stub used in DCF</t>
  </si>
  <si>
    <t xml:space="preserve">EBIT (IFRS operating income, after SBC)</t>
  </si>
  <si>
    <t xml:space="preserve">  EBIT margin</t>
  </si>
  <si>
    <t xml:space="preserve">Cash tax rate on EBIT</t>
  </si>
  <si>
    <t xml:space="preserve">Less: taxes on EBIT</t>
  </si>
  <si>
    <t xml:space="preserve">NOPAT</t>
  </si>
  <si>
    <t xml:space="preserve">Plus: D&amp;A of PP&amp;E and intangibles</t>
  </si>
  <si>
    <t xml:space="preserve">ROU depreciation not added back: lease payments treated as operating cost</t>
  </si>
  <si>
    <t xml:space="preserve">Less: capital expenditure</t>
  </si>
  <si>
    <t xml:space="preserve">Operating net working capital (end of period)</t>
  </si>
  <si>
    <t xml:space="preserve">Less: increase / plus: decrease in NWC</t>
  </si>
  <si>
    <t xml:space="preserve">2H26E: seasonal unwind of 30-Jun payables float</t>
  </si>
  <si>
    <t xml:space="preserve">Unlevered free cash flow (FCFF)</t>
  </si>
  <si>
    <t xml:space="preserve">  FCFF margin</t>
  </si>
  <si>
    <t xml:space="preserve">Memo</t>
  </si>
  <si>
    <t xml:space="preserve">Share-based compensation (treated as a cash-equivalent cost)</t>
  </si>
  <si>
    <t xml:space="preserve">Adjusted EBIT</t>
  </si>
  <si>
    <t xml:space="preserve">Reinvestment rate (capex - D&amp;A + dNWC) / NOPAT</t>
  </si>
  <si>
    <t xml:space="preserve">Terminal-year (FY2031E) metrics</t>
  </si>
  <si>
    <t xml:space="preserve">EBITDA</t>
  </si>
  <si>
    <t xml:space="preserve">EBIT</t>
  </si>
  <si>
    <t xml:space="preserve">FCFF</t>
  </si>
  <si>
    <t xml:space="preserve">Operating NWC</t>
  </si>
  <si>
    <t xml:space="preserve">SHEIN Global Holdings Ltd (0625.HK) - DCF</t>
  </si>
  <si>
    <t xml:space="preserve">FCFF discounted at WACC (mid-period); Gordon-growth terminal value; bridge to equity at pro forma listing cash.</t>
  </si>
  <si>
    <t xml:space="preserve">Equity risk premium</t>
  </si>
  <si>
    <t xml:space="preserve">Cost of equity (CAPM)</t>
  </si>
  <si>
    <t xml:space="preserve">Debt / capital</t>
  </si>
  <si>
    <t xml:space="preserve">Terminal growth</t>
  </si>
  <si>
    <t xml:space="preserve">Discounted cash flows (US$m; mid-period convention)</t>
  </si>
  <si>
    <t xml:space="preserve">Unlevered free cash flow</t>
  </si>
  <si>
    <t xml:space="preserve">Cash-flow mid-point</t>
  </si>
  <si>
    <t xml:space="preserve">Years from valuation date</t>
  </si>
  <si>
    <t xml:space="preserve">Discount factor</t>
  </si>
  <si>
    <t xml:space="preserve">Present value of FCFF</t>
  </si>
  <si>
    <t xml:space="preserve">Terminal value (Gordon growth on FY2031E)</t>
  </si>
  <si>
    <t xml:space="preserve">FY2031E NOPAT + D&amp;A - capex</t>
  </si>
  <si>
    <t xml:space="preserve">FY2031E operating NWC</t>
  </si>
  <si>
    <t xml:space="preserve">Terminal FCFF (FY2032E)</t>
  </si>
  <si>
    <t xml:space="preserve">NWC grows with revenue at g</t>
  </si>
  <si>
    <t xml:space="preserve">Terminal value at end-FY2031E</t>
  </si>
  <si>
    <t xml:space="preserve">Years from valuation date to end-FY2031E</t>
  </si>
  <si>
    <t xml:space="preserve">Present value of terminal value</t>
  </si>
  <si>
    <t xml:space="preserve">Implied terminal EV / FY2031E EBITDA</t>
  </si>
  <si>
    <t xml:space="preserve">Implied terminal EV / FY2031E EBIT</t>
  </si>
  <si>
    <t xml:space="preserve">Enterprise value to equity value (US$m)</t>
  </si>
  <si>
    <t xml:space="preserve">Sum of PV of FCFF (2H26E-FY2031E)</t>
  </si>
  <si>
    <t xml:space="preserve">PV of terminal value</t>
  </si>
  <si>
    <t xml:space="preserve">Operating enterprise value</t>
  </si>
  <si>
    <t xml:space="preserve">  Terminal value % of EV</t>
  </si>
  <si>
    <t xml:space="preserve">Plus: cash resources at 30-Jun-2026</t>
  </si>
  <si>
    <t xml:space="preserve">Less: restricted cash</t>
  </si>
  <si>
    <t xml:space="preserve">Plus: IPO net proceeds (Sep-2026)</t>
  </si>
  <si>
    <t xml:space="preserve">Less: Conversion Adjustment cash paid at listing</t>
  </si>
  <si>
    <t xml:space="preserve">Less: preferred distributions paid after 30-Jun-2026</t>
  </si>
  <si>
    <t xml:space="preserve">Less: minimum operating cash</t>
  </si>
  <si>
    <t xml:space="preserve">Less: regulatory contingency reserve</t>
  </si>
  <si>
    <t xml:space="preserve">Plus: associates &amp; FVTPL investments</t>
  </si>
  <si>
    <t xml:space="preserve">Net cash &amp; investments used in valuation</t>
  </si>
  <si>
    <t xml:space="preserve">Equity value (US$m)</t>
  </si>
  <si>
    <t xml:space="preserve">Fully diluted shares (m)</t>
  </si>
  <si>
    <t xml:space="preserve">DCF value per share (US$)</t>
  </si>
  <si>
    <t xml:space="preserve">Upside / (downside) vs. current price</t>
  </si>
  <si>
    <t xml:space="preserve">  of which net cash &amp; investments per share (HK$)</t>
  </si>
  <si>
    <t xml:space="preserve">Implied P/E on FY2027E adj. EPS</t>
  </si>
  <si>
    <t xml:space="preserve">Implied operating EV / FY2027E adj. EBIT</t>
  </si>
  <si>
    <t xml:space="preserve">SHEIN Global Holdings Ltd (0625.HK) - Sensitivity</t>
  </si>
  <si>
    <t xml:space="preserve">All tables recalculate live from the DCF and Income Statement tabs.</t>
  </si>
  <si>
    <t xml:space="preserve">Table 1 - DCF value per share (HK$): WACC vs. terminal growth</t>
  </si>
  <si>
    <t xml:space="preserve">WACC \ g</t>
  </si>
  <si>
    <t xml:space="preserve">Table 2 - DCF value per share (HK$): revenue CAGR FY26E-31E vs. FY2031E EBIT margin (simplified re-computation)</t>
  </si>
  <si>
    <t xml:space="preserve">CAGR \ margin</t>
  </si>
  <si>
    <t xml:space="preserve">Helper: year index k (FY2027E..FY2031E)</t>
  </si>
  <si>
    <t xml:space="preserve">Helper: FY2026E revenue</t>
  </si>
  <si>
    <t xml:space="preserve">Helper: FY2026E EBIT margin</t>
  </si>
  <si>
    <t xml:space="preserve">Helper: FY2031E EBIT margin (base)</t>
  </si>
  <si>
    <t xml:space="preserve">Helper: FY2026E-31E revenue CAGR (base)</t>
  </si>
  <si>
    <t xml:space="preserve">Helper: FY2031E (D&amp;A + capex) % revenue</t>
  </si>
  <si>
    <t xml:space="preserve">Helper: FY2031E NWC % revenue</t>
  </si>
  <si>
    <t xml:space="preserve">Table 3 - P/E value per share (HK$): target multiple vs. FY2027E adj. EPS</t>
  </si>
  <si>
    <t xml:space="preserve">P/E \ EPS chg</t>
  </si>
  <si>
    <t xml:space="preserve">SHEIN Global Holdings Ltd (0625.HK) - Comps</t>
  </si>
  <si>
    <t xml:space="preserve">Trading comparables. Peer data: stockanalysis.com (29/30-Sep-2026); LTM = last reported 12 months; NTM P/E = consensus.</t>
  </si>
  <si>
    <t xml:space="preserve">FX (approximate, late-Sep-2026)</t>
  </si>
  <si>
    <t xml:space="preserve">EUR / USD</t>
  </si>
  <si>
    <t xml:space="preserve">USD / SEK</t>
  </si>
  <si>
    <t xml:space="preserve">USD / JPY</t>
  </si>
  <si>
    <t xml:space="preserve">GBP / USD</t>
  </si>
  <si>
    <t xml:space="preserve">Company</t>
  </si>
  <si>
    <t xml:space="preserve">Ticker</t>
  </si>
  <si>
    <t xml:space="preserve">Segment</t>
  </si>
  <si>
    <t xml:space="preserve">Ccy</t>
  </si>
  <si>
    <t xml:space="preserve">Price (local)</t>
  </si>
  <si>
    <t xml:space="preserve">Mkt cap (bn, local)</t>
  </si>
  <si>
    <t xml:space="preserve">Local per US$</t>
  </si>
  <si>
    <t xml:space="preserve">Mkt cap (US$bn)</t>
  </si>
  <si>
    <t xml:space="preserve">EV (bn, local)</t>
  </si>
  <si>
    <t xml:space="preserve">EV (US$bn)</t>
  </si>
  <si>
    <t xml:space="preserve">EV/Sales LTM</t>
  </si>
  <si>
    <t xml:space="preserve">EV/EBITDA LTM</t>
  </si>
  <si>
    <t xml:space="preserve">EV/EBIT LTM</t>
  </si>
  <si>
    <t xml:space="preserve">P/E LTM</t>
  </si>
  <si>
    <t xml:space="preserve">P/E NTM</t>
  </si>
  <si>
    <t xml:space="preserve">EBITDA margin LTM</t>
  </si>
  <si>
    <t xml:space="preserve">Net margin LTM</t>
  </si>
  <si>
    <t xml:space="preserve">Revenue LTM (bn, local)</t>
  </si>
  <si>
    <t xml:space="preserve">EBITDA LTM (bn, local)</t>
  </si>
  <si>
    <t xml:space="preserve">NI LTM (bn, local)</t>
  </si>
  <si>
    <t xml:space="preserve">Inditex</t>
  </si>
  <si>
    <t xml:space="preserve">ITX SM</t>
  </si>
  <si>
    <t xml:space="preserve">Global apparel</t>
  </si>
  <si>
    <t xml:space="preserve">EUR</t>
  </si>
  <si>
    <t xml:space="preserve">H&amp;M</t>
  </si>
  <si>
    <t xml:space="preserve">HMB SS</t>
  </si>
  <si>
    <t xml:space="preserve">SEK</t>
  </si>
  <si>
    <t xml:space="preserve">Fast Retailing</t>
  </si>
  <si>
    <t xml:space="preserve">9983 JP</t>
  </si>
  <si>
    <t xml:space="preserve">JPY</t>
  </si>
  <si>
    <t xml:space="preserve">Zalando</t>
  </si>
  <si>
    <t xml:space="preserve">ZAL GY</t>
  </si>
  <si>
    <t xml:space="preserve">Online fashion</t>
  </si>
  <si>
    <t xml:space="preserve">ASOS</t>
  </si>
  <si>
    <t xml:space="preserve">ASC LN</t>
  </si>
  <si>
    <t xml:space="preserve">GBP</t>
  </si>
  <si>
    <t xml:space="preserve">n.m.</t>
  </si>
  <si>
    <t xml:space="preserve">Revolve</t>
  </si>
  <si>
    <t xml:space="preserve">RVLV US</t>
  </si>
  <si>
    <t xml:space="preserve">USD</t>
  </si>
  <si>
    <t xml:space="preserve">PDD Holdings (Temu)</t>
  </si>
  <si>
    <t xml:space="preserve">PDD US</t>
  </si>
  <si>
    <t xml:space="preserve">E-commerce platforms</t>
  </si>
  <si>
    <t xml:space="preserve">Alibaba (AliExpress)</t>
  </si>
  <si>
    <t xml:space="preserve">BABA US</t>
  </si>
  <si>
    <t xml:space="preserve">JD.com</t>
  </si>
  <si>
    <t xml:space="preserve">JD US</t>
  </si>
  <si>
    <t xml:space="preserve">Amazon</t>
  </si>
  <si>
    <t xml:space="preserve">AMZN US</t>
  </si>
  <si>
    <t xml:space="preserve">MercadoLibre</t>
  </si>
  <si>
    <t xml:space="preserve">MELI US</t>
  </si>
  <si>
    <t xml:space="preserve">SHEIN (at current price)</t>
  </si>
  <si>
    <t xml:space="preserve">0625 HK</t>
  </si>
  <si>
    <t xml:space="preserve">Subject</t>
  </si>
  <si>
    <t xml:space="preserve">HKD</t>
  </si>
  <si>
    <t xml:space="preserve">Statistical summary (11 peers)</t>
  </si>
  <si>
    <t xml:space="preserve">Maximum</t>
  </si>
  <si>
    <t xml:space="preserve">75th percentile</t>
  </si>
  <si>
    <t xml:space="preserve">Median</t>
  </si>
  <si>
    <t xml:space="preserve">25th percentile</t>
  </si>
  <si>
    <t xml:space="preserve">Minimum</t>
  </si>
  <si>
    <t xml:space="preserve">Segment medians</t>
  </si>
  <si>
    <t xml:space="preserve">SHEIN LTM (12 months to 30-Jun-2026) and NTM inputs (US$m)</t>
  </si>
  <si>
    <t xml:space="preserve">LTM net revenues</t>
  </si>
  <si>
    <t xml:space="preserve">LTM EBIT</t>
  </si>
  <si>
    <t xml:space="preserve">LTM EBITDA (IFRS 16)</t>
  </si>
  <si>
    <t xml:space="preserve">LTM adjusted net income</t>
  </si>
  <si>
    <t xml:space="preserve">NTM adjusted net income (0.25 x FY26E + 0.75 x FY27E)</t>
  </si>
  <si>
    <t xml:space="preserve">NTM adjusted EPS (HK$)</t>
  </si>
  <si>
    <t xml:space="preserve">SHEIN EV for comps (mkt cap - pro forma cash - investments)</t>
  </si>
  <si>
    <t xml:space="preserve">Implied SHEIN value per share from peer multiples (HK$)</t>
  </si>
  <si>
    <t xml:space="preserve">Method</t>
  </si>
  <si>
    <t xml:space="preserve">Multiple</t>
  </si>
  <si>
    <t xml:space="preserve">HK$/sh</t>
  </si>
  <si>
    <t xml:space="preserve">vs. price</t>
  </si>
  <si>
    <t xml:space="preserve">All-peer median P/E NTM x SHEIN NTM EPS</t>
  </si>
  <si>
    <t xml:space="preserve">Global apparel median P/E NTM x NTM EPS</t>
  </si>
  <si>
    <t xml:space="preserve">Online fashion median P/E NTM x NTM EPS</t>
  </si>
  <si>
    <t xml:space="preserve">E-commerce platforms median P/E NTM x NTM EPS</t>
  </si>
  <si>
    <t xml:space="preserve">All-peer median EV/EBIT LTM x FY2027E adj. EBIT + net cash</t>
  </si>
  <si>
    <t xml:space="preserve">SHEIN Global Holdings Ltd (0625.HK) - Valuation Summary</t>
  </si>
  <si>
    <t xml:space="preserve">Price target = weighted DCF and P/E; rating from upside thresholds on the Inputs tab.</t>
  </si>
  <si>
    <t xml:space="preserve">Price target derivation</t>
  </si>
  <si>
    <t xml:space="preserve">Current share price (HK$, 30-Sep-2026)</t>
  </si>
  <si>
    <t xml:space="preserve">Weight in column D</t>
  </si>
  <si>
    <t xml:space="preserve">P/E value per share (HK$): target P/E x FY2027E adj. EPS</t>
  </si>
  <si>
    <t xml:space="preserve">Weighted value per share (HK$)</t>
  </si>
  <si>
    <t xml:space="preserve">12-month price target (HK$, rounded to nearest HK$0.50)</t>
  </si>
  <si>
    <t xml:space="preserve">Implied P/E at target (FY2026E / FY2027E adj. EPS)</t>
  </si>
  <si>
    <t xml:space="preserve">Implied market cap at target (US$m)</t>
  </si>
  <si>
    <t xml:space="preserve">Implied EV at target, ex pro forma cash (US$m)</t>
  </si>
  <si>
    <t xml:space="preserve">Implied EV / FY2027E adj. EBIT at target</t>
  </si>
  <si>
    <t xml:space="preserve">Valuation football field (HK$ per share)</t>
  </si>
  <si>
    <t xml:space="preserve">Low</t>
  </si>
  <si>
    <t xml:space="preserve">High</t>
  </si>
  <si>
    <t xml:space="preserve">Basis</t>
  </si>
  <si>
    <t xml:space="preserve">Trading range since listing</t>
  </si>
  <si>
    <t xml:space="preserve">1-30 Sep 2026</t>
  </si>
  <si>
    <t xml:space="preserve">IPO indicative price range</t>
  </si>
  <si>
    <t xml:space="preserve">Final HK$48.56</t>
  </si>
  <si>
    <t xml:space="preserve">DCF (WACC +/-0.5pp, g +/-0.5pp)</t>
  </si>
  <si>
    <t xml:space="preserve">Sensitivity tab</t>
  </si>
  <si>
    <t xml:space="preserve">P/E 12x-16x FY2027E adj. EPS</t>
  </si>
  <si>
    <t xml:space="preserve">Target 14x</t>
  </si>
  <si>
    <t xml:space="preserve">Peer P/E NTM, 25th-75th percentile x NTM EPS</t>
  </si>
  <si>
    <t xml:space="preserve">Comps tab</t>
  </si>
  <si>
    <t xml:space="preserve">EV / FY2027E adj. EBIT 8x-12x + valuation net cash</t>
  </si>
  <si>
    <t xml:space="preserve">~50% discount to peer median EV/EBIT</t>
  </si>
  <si>
    <t xml:space="preserve">Scenario blended value (Bear to Bull)</t>
  </si>
  <si>
    <t xml:space="preserve">Scenarios tab</t>
  </si>
  <si>
    <t xml:space="preserve">Current price</t>
  </si>
  <si>
    <t xml:space="preserve">Price target</t>
  </si>
  <si>
    <t xml:space="preserve">Key financials and valuation (US$m unless stated)</t>
  </si>
  <si>
    <t xml:space="preserve">FCF incl. interest</t>
  </si>
  <si>
    <t xml:space="preserve">Cash resources (year-end)</t>
  </si>
  <si>
    <t xml:space="preserve">EV / adjusted EBIT (x); EV = mkt cap - pro forma cash</t>
  </si>
  <si>
    <t xml:space="preserve">Dividend yield (declared basis)</t>
  </si>
  <si>
    <t xml:space="preserve">FCF yield (incl. interest)</t>
  </si>
  <si>
    <t xml:space="preserve">SHEIN Global Holdings Ltd (0625.HK) - Checks</t>
  </si>
  <si>
    <t xml:space="preserve">TRUE = pass. Overall flag feeds the Cover tab.</t>
  </si>
  <si>
    <t xml:space="preserve">Balance sheet balances</t>
  </si>
  <si>
    <t xml:space="preserve">Cash-flow ending cash = balance-sheet cash</t>
  </si>
  <si>
    <t xml:space="preserve">Revenue: geography = business model</t>
  </si>
  <si>
    <t xml:space="preserve">Revenue: geography = category</t>
  </si>
  <si>
    <t xml:space="preserve">Historical net income ties to Accountants' Report</t>
  </si>
  <si>
    <t xml:space="preserve">Historical operating income ties to Accountants' Report</t>
  </si>
  <si>
    <t xml:space="preserve">Historical CFO ties to Accountants' Report</t>
  </si>
  <si>
    <t xml:space="preserve">Historical CFI ties to Accountants' Report</t>
  </si>
  <si>
    <t xml:space="preserve">Historical total assets tie to Accountants' Report</t>
  </si>
  <si>
    <t xml:space="preserve">1H26 revenue / op. income / NI / adj. NI tie to Interim Report</t>
  </si>
  <si>
    <t xml:space="preserve">1H25 revenue / op. income / NI / adj. NI tie to Interim Report</t>
  </si>
  <si>
    <t xml:space="preserve">30-Jun-2026 cash resources tie to Interim Report (US$15,248m)</t>
  </si>
  <si>
    <t xml:space="preserve">FY2026E = 1H26A + 2H26E (revenue)</t>
  </si>
  <si>
    <t xml:space="preserve">Scenario selector is 1, 2 or 3</t>
  </si>
  <si>
    <t xml:space="preserve">Net equity from conversion = converted shares x IPO price</t>
  </si>
  <si>
    <t xml:space="preserve">ALL CHECKS PASS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</si>
</sst>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;\(#,##0.00\);\–"/>
    <numFmt numFmtId="166" formatCode="0.0%;\(0.0%\);\–"/>
    <numFmt numFmtId="167" formatCode="#,##0;\(#,##0\);\–"/>
    <numFmt numFmtId="168" formatCode="#,##0.000;\(#,##0.000\);\–"/>
    <numFmt numFmtId="169" formatCode="dd\-mmm\-yyyy"/>
    <numFmt numFmtId="170" formatCode="#,##0.0;\(#,##0.0\);\–"/>
    <numFmt numFmtId="171" formatCode="0.0\x;\(0.0&quot;x)&quot;;\–"/>
    <numFmt numFmtId="172" formatCode="0.00%;\(0.00%\);\–"/>
    <numFmt numFmtId="173" formatCode="0.0"/>
    <numFmt numFmtId="17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F7F7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4" customFormat="false" ht="15" hidden="false" customHeight="false" outlineLevel="0" collapsed="false">
      <c r="A4" s="4" t="s">
        <v>2</v>
      </c>
      <c r="B4" s="5"/>
      <c r="C4" s="5"/>
      <c r="D4" s="5"/>
    </row>
    <row r="5" customFormat="false" ht="15" hidden="false" customHeight="false" outlineLevel="0" collapsed="false">
      <c r="A5" s="6" t="s">
        <v>3</v>
      </c>
      <c r="C5" s="7" t="str">
        <f aca="false">'Valuation Summary'!C11</f>
        <v>BUY</v>
      </c>
    </row>
    <row r="6" customFormat="false" ht="15" hidden="false" customHeight="false" outlineLevel="0" collapsed="false">
      <c r="A6" s="6" t="s">
        <v>4</v>
      </c>
      <c r="C6" s="8" t="n">
        <f aca="false">'Valuation Summary'!C9</f>
        <v>45</v>
      </c>
    </row>
    <row r="7" customFormat="false" ht="15" hidden="false" customHeight="false" outlineLevel="0" collapsed="false">
      <c r="A7" s="9" t="s">
        <v>5</v>
      </c>
      <c r="C7" s="10" t="n">
        <f aca="false">Inputs!$C$5</f>
        <v>30.84</v>
      </c>
    </row>
    <row r="8" customFormat="false" ht="15" hidden="false" customHeight="false" outlineLevel="0" collapsed="false">
      <c r="A8" s="9" t="s">
        <v>6</v>
      </c>
      <c r="C8" s="11" t="n">
        <f aca="false">'Valuation Summary'!C10</f>
        <v>0.459143968871595</v>
      </c>
    </row>
    <row r="9" customFormat="false" ht="15" hidden="false" customHeight="false" outlineLevel="0" collapsed="false">
      <c r="A9" s="9" t="s">
        <v>7</v>
      </c>
      <c r="C9" s="12" t="n">
        <f aca="false">Inputs!$C$20</f>
        <v>17372.7475581338</v>
      </c>
    </row>
    <row r="10" customFormat="false" ht="15" hidden="false" customHeight="false" outlineLevel="0" collapsed="false">
      <c r="A10" s="9" t="s">
        <v>8</v>
      </c>
      <c r="C10" s="12" t="n">
        <f aca="false">Inputs!$C$30</f>
        <v>13485.3977055449</v>
      </c>
    </row>
    <row r="11" customFormat="false" ht="15" hidden="false" customHeight="false" outlineLevel="0" collapsed="false">
      <c r="A11" s="9" t="s">
        <v>9</v>
      </c>
      <c r="C11" s="13" t="str">
        <f aca="false">Scenarios!D4</f>
        <v>Base</v>
      </c>
    </row>
    <row r="12" customFormat="false" ht="15" hidden="false" customHeight="false" outlineLevel="0" collapsed="false">
      <c r="A12" s="6" t="s">
        <v>10</v>
      </c>
      <c r="C12" s="14" t="str">
        <f aca="false">IF(Checks!C20,"ALL CHECKS PASS","CHECK ERRORS")</f>
        <v>ALL CHECKS PASS</v>
      </c>
    </row>
    <row r="14" customFormat="false" ht="15" hidden="false" customHeight="false" outlineLevel="0" collapsed="false">
      <c r="A14" s="4" t="s">
        <v>11</v>
      </c>
      <c r="B14" s="5"/>
      <c r="C14" s="5"/>
      <c r="D14" s="5"/>
    </row>
    <row r="15" customFormat="false" ht="15" hidden="false" customHeight="false" outlineLevel="0" collapsed="false">
      <c r="A15" s="9" t="s">
        <v>12</v>
      </c>
      <c r="C15" s="9" t="s">
        <v>13</v>
      </c>
    </row>
    <row r="16" customFormat="false" ht="15" hidden="false" customHeight="false" outlineLevel="0" collapsed="false">
      <c r="A16" s="9" t="s">
        <v>14</v>
      </c>
      <c r="C16" s="9" t="s">
        <v>15</v>
      </c>
    </row>
    <row r="17" customFormat="false" ht="15" hidden="false" customHeight="false" outlineLevel="0" collapsed="false">
      <c r="A17" s="9" t="s">
        <v>16</v>
      </c>
      <c r="C17" s="9" t="s">
        <v>17</v>
      </c>
    </row>
    <row r="18" customFormat="false" ht="15" hidden="false" customHeight="false" outlineLevel="0" collapsed="false">
      <c r="A18" s="9" t="s">
        <v>18</v>
      </c>
      <c r="C18" s="9" t="s">
        <v>19</v>
      </c>
    </row>
    <row r="19" customFormat="false" ht="15" hidden="false" customHeight="false" outlineLevel="0" collapsed="false">
      <c r="A19" s="9" t="s">
        <v>20</v>
      </c>
      <c r="C19" s="9" t="s">
        <v>21</v>
      </c>
    </row>
    <row r="20" customFormat="false" ht="15" hidden="false" customHeight="false" outlineLevel="0" collapsed="false">
      <c r="A20" s="9" t="s">
        <v>22</v>
      </c>
      <c r="C20" s="9" t="s">
        <v>23</v>
      </c>
    </row>
    <row r="21" customFormat="false" ht="15" hidden="false" customHeight="false" outlineLevel="0" collapsed="false">
      <c r="A21" s="9" t="s">
        <v>24</v>
      </c>
      <c r="C21" s="9" t="s">
        <v>25</v>
      </c>
    </row>
    <row r="22" customFormat="false" ht="15" hidden="false" customHeight="false" outlineLevel="0" collapsed="false">
      <c r="A22" s="9" t="s">
        <v>26</v>
      </c>
      <c r="C22" s="9" t="s">
        <v>27</v>
      </c>
    </row>
    <row r="23" customFormat="false" ht="15" hidden="false" customHeight="false" outlineLevel="0" collapsed="false">
      <c r="A23" s="9" t="s">
        <v>28</v>
      </c>
      <c r="C23" s="9" t="s">
        <v>29</v>
      </c>
    </row>
    <row r="24" customFormat="false" ht="15" hidden="false" customHeight="false" outlineLevel="0" collapsed="false">
      <c r="A24" s="9" t="s">
        <v>30</v>
      </c>
      <c r="C24" s="9" t="s">
        <v>31</v>
      </c>
    </row>
    <row r="25" customFormat="false" ht="15" hidden="false" customHeight="false" outlineLevel="0" collapsed="false">
      <c r="A25" s="9" t="s">
        <v>32</v>
      </c>
      <c r="C25" s="9" t="s">
        <v>33</v>
      </c>
    </row>
    <row r="26" customFormat="false" ht="15" hidden="false" customHeight="false" outlineLevel="0" collapsed="false">
      <c r="A26" s="9" t="s">
        <v>34</v>
      </c>
      <c r="C26" s="9" t="s">
        <v>35</v>
      </c>
    </row>
    <row r="27" customFormat="false" ht="15" hidden="false" customHeight="false" outlineLevel="0" collapsed="false">
      <c r="A27" s="9" t="s">
        <v>36</v>
      </c>
      <c r="C27" s="9" t="s">
        <v>37</v>
      </c>
    </row>
    <row r="29" customFormat="false" ht="15" hidden="false" customHeight="false" outlineLevel="0" collapsed="false">
      <c r="A29" s="4" t="s">
        <v>38</v>
      </c>
      <c r="B29" s="5"/>
      <c r="C29" s="5"/>
      <c r="D29" s="5"/>
    </row>
    <row r="30" customFormat="false" ht="15" hidden="false" customHeight="false" outlineLevel="0" collapsed="false">
      <c r="A30" s="9" t="s">
        <v>39</v>
      </c>
      <c r="C30" s="15" t="s">
        <v>40</v>
      </c>
    </row>
    <row r="31" customFormat="false" ht="15" hidden="false" customHeight="false" outlineLevel="0" collapsed="false">
      <c r="A31" s="9" t="s">
        <v>41</v>
      </c>
      <c r="C31" s="9" t="s">
        <v>42</v>
      </c>
    </row>
    <row r="32" customFormat="false" ht="15" hidden="false" customHeight="false" outlineLevel="0" collapsed="false">
      <c r="A32" s="9" t="s">
        <v>43</v>
      </c>
      <c r="C32" s="16" t="s">
        <v>44</v>
      </c>
    </row>
    <row r="34" customFormat="false" ht="15" hidden="false" customHeight="false" outlineLevel="0" collapsed="false">
      <c r="A34" s="4" t="s">
        <v>45</v>
      </c>
      <c r="B34" s="5"/>
      <c r="C34" s="5"/>
      <c r="D34" s="5"/>
    </row>
    <row r="35" customFormat="false" ht="15" hidden="false" customHeight="false" outlineLevel="0" collapsed="false">
      <c r="A35" s="9" t="s">
        <v>46</v>
      </c>
      <c r="C35" s="9" t="s">
        <v>47</v>
      </c>
    </row>
    <row r="36" customFormat="false" ht="15" hidden="false" customHeight="false" outlineLevel="0" collapsed="false">
      <c r="A36" s="9" t="s">
        <v>48</v>
      </c>
      <c r="C36" s="9" t="s">
        <v>49</v>
      </c>
    </row>
    <row r="37" customFormat="false" ht="15" hidden="false" customHeight="false" outlineLevel="0" collapsed="false">
      <c r="A37" s="9" t="s">
        <v>50</v>
      </c>
      <c r="C37" s="9" t="s">
        <v>51</v>
      </c>
    </row>
    <row r="38" customFormat="false" ht="15" hidden="false" customHeight="false" outlineLevel="0" collapsed="false">
      <c r="A38" s="9" t="s">
        <v>52</v>
      </c>
      <c r="C38" s="9" t="s">
        <v>53</v>
      </c>
    </row>
    <row r="39" customFormat="false" ht="15" hidden="false" customHeight="false" outlineLevel="0" collapsed="false">
      <c r="A39" s="9" t="s">
        <v>54</v>
      </c>
      <c r="C39" s="9" t="s">
        <v>55</v>
      </c>
    </row>
    <row r="40" customFormat="false" ht="15" hidden="false" customHeight="false" outlineLevel="0" collapsed="false">
      <c r="A40" s="9" t="s">
        <v>56</v>
      </c>
      <c r="C40" s="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58</v>
      </c>
      <c r="B1" s="2"/>
      <c r="C1" s="2"/>
      <c r="D1" s="2"/>
      <c r="E1" s="2"/>
    </row>
    <row r="2" customFormat="false" ht="15" hidden="false" customHeight="false" outlineLevel="0" collapsed="false">
      <c r="A2" s="3" t="s">
        <v>59</v>
      </c>
      <c r="B2" s="2"/>
      <c r="C2" s="2"/>
      <c r="D2" s="2"/>
      <c r="E2" s="2"/>
    </row>
    <row r="4" customFormat="false" ht="15" hidden="false" customHeight="false" outlineLevel="0" collapsed="false">
      <c r="A4" s="4" t="s">
        <v>60</v>
      </c>
      <c r="B4" s="5"/>
      <c r="C4" s="5"/>
      <c r="D4" s="5"/>
      <c r="E4" s="5"/>
    </row>
    <row r="5" customFormat="false" ht="15" hidden="false" customHeight="false" outlineLevel="0" collapsed="false">
      <c r="A5" s="9" t="s">
        <v>61</v>
      </c>
      <c r="B5" s="17" t="s">
        <v>62</v>
      </c>
      <c r="C5" s="18" t="n">
        <v>30.84</v>
      </c>
      <c r="D5" s="19" t="s">
        <v>63</v>
      </c>
    </row>
    <row r="6" customFormat="false" ht="15" hidden="false" customHeight="false" outlineLevel="0" collapsed="false">
      <c r="A6" s="9" t="s">
        <v>64</v>
      </c>
      <c r="B6" s="17" t="s">
        <v>65</v>
      </c>
      <c r="C6" s="20" t="n">
        <v>7.845</v>
      </c>
      <c r="D6" s="19" t="s">
        <v>66</v>
      </c>
    </row>
    <row r="7" customFormat="false" ht="15" hidden="false" customHeight="false" outlineLevel="0" collapsed="false">
      <c r="A7" s="9" t="s">
        <v>67</v>
      </c>
      <c r="B7" s="17" t="s">
        <v>62</v>
      </c>
      <c r="C7" s="21" t="n">
        <v>48.56</v>
      </c>
      <c r="D7" s="19" t="s">
        <v>68</v>
      </c>
    </row>
    <row r="8" customFormat="false" ht="15" hidden="false" customHeight="false" outlineLevel="0" collapsed="false">
      <c r="A8" s="9" t="s">
        <v>69</v>
      </c>
      <c r="B8" s="17" t="s">
        <v>62</v>
      </c>
      <c r="C8" s="21" t="n">
        <v>47.6</v>
      </c>
      <c r="D8" s="19" t="s">
        <v>70</v>
      </c>
    </row>
    <row r="9" customFormat="false" ht="15" hidden="false" customHeight="false" outlineLevel="0" collapsed="false">
      <c r="A9" s="9" t="s">
        <v>71</v>
      </c>
      <c r="B9" s="17" t="s">
        <v>62</v>
      </c>
      <c r="C9" s="21" t="n">
        <v>49.5</v>
      </c>
      <c r="D9" s="19" t="s">
        <v>70</v>
      </c>
    </row>
    <row r="10" customFormat="false" ht="15" hidden="false" customHeight="false" outlineLevel="0" collapsed="false">
      <c r="A10" s="9" t="s">
        <v>72</v>
      </c>
      <c r="B10" s="17" t="s">
        <v>62</v>
      </c>
      <c r="C10" s="21" t="n">
        <v>48.56</v>
      </c>
      <c r="D10" s="19" t="s">
        <v>73</v>
      </c>
    </row>
    <row r="11" customFormat="false" ht="15" hidden="false" customHeight="false" outlineLevel="0" collapsed="false">
      <c r="A11" s="9" t="s">
        <v>74</v>
      </c>
      <c r="B11" s="17" t="s">
        <v>62</v>
      </c>
      <c r="C11" s="21" t="n">
        <v>29.9</v>
      </c>
      <c r="D11" s="19" t="s">
        <v>75</v>
      </c>
    </row>
    <row r="12" customFormat="false" ht="15" hidden="false" customHeight="false" outlineLevel="0" collapsed="false">
      <c r="A12" s="9" t="s">
        <v>76</v>
      </c>
      <c r="B12" s="17" t="s">
        <v>77</v>
      </c>
      <c r="C12" s="22" t="n">
        <v>46295</v>
      </c>
    </row>
    <row r="13" customFormat="false" ht="15" hidden="false" customHeight="false" outlineLevel="0" collapsed="false">
      <c r="A13" s="4" t="s">
        <v>78</v>
      </c>
      <c r="B13" s="5"/>
      <c r="C13" s="5"/>
      <c r="D13" s="5"/>
      <c r="E13" s="5"/>
    </row>
    <row r="14" customFormat="false" ht="15" hidden="false" customHeight="false" outlineLevel="0" collapsed="false">
      <c r="A14" s="9" t="s">
        <v>79</v>
      </c>
      <c r="B14" s="17" t="s">
        <v>80</v>
      </c>
      <c r="C14" s="23" t="n">
        <v>4246.202609</v>
      </c>
      <c r="D14" s="19" t="s">
        <v>81</v>
      </c>
    </row>
    <row r="15" customFormat="false" ht="15" hidden="false" customHeight="false" outlineLevel="0" collapsed="false">
      <c r="A15" s="9" t="s">
        <v>82</v>
      </c>
      <c r="B15" s="17" t="s">
        <v>80</v>
      </c>
      <c r="C15" s="23" t="n">
        <v>157.0826</v>
      </c>
      <c r="D15" s="19" t="s">
        <v>83</v>
      </c>
    </row>
    <row r="16" customFormat="false" ht="15" hidden="false" customHeight="false" outlineLevel="0" collapsed="false">
      <c r="A16" s="9" t="s">
        <v>84</v>
      </c>
      <c r="B16" s="17" t="s">
        <v>80</v>
      </c>
      <c r="C16" s="23" t="n">
        <v>15.9497</v>
      </c>
      <c r="D16" s="19" t="s">
        <v>83</v>
      </c>
    </row>
    <row r="17" customFormat="false" ht="15" hidden="false" customHeight="false" outlineLevel="0" collapsed="false">
      <c r="A17" s="9" t="s">
        <v>85</v>
      </c>
      <c r="B17" s="17" t="s">
        <v>80</v>
      </c>
      <c r="C17" s="24" t="n">
        <f aca="false">C14+C15+C16</f>
        <v>4419.234909</v>
      </c>
      <c r="D17" s="19" t="s">
        <v>86</v>
      </c>
    </row>
    <row r="18" customFormat="false" ht="15" hidden="false" customHeight="false" outlineLevel="0" collapsed="false">
      <c r="A18" s="9" t="s">
        <v>87</v>
      </c>
      <c r="B18" s="17" t="s">
        <v>88</v>
      </c>
      <c r="C18" s="25" t="n">
        <v>0.005</v>
      </c>
      <c r="D18" s="19" t="s">
        <v>89</v>
      </c>
    </row>
    <row r="19" customFormat="false" ht="15" hidden="false" customHeight="false" outlineLevel="0" collapsed="false">
      <c r="A19" s="9" t="s">
        <v>90</v>
      </c>
      <c r="B19" s="17" t="s">
        <v>91</v>
      </c>
      <c r="C19" s="26" t="n">
        <f aca="false">C5*C17</f>
        <v>136289.20459356</v>
      </c>
    </row>
    <row r="20" customFormat="false" ht="15" hidden="false" customHeight="false" outlineLevel="0" collapsed="false">
      <c r="A20" s="9" t="s">
        <v>90</v>
      </c>
      <c r="B20" s="17" t="s">
        <v>92</v>
      </c>
      <c r="C20" s="26" t="n">
        <f aca="false">C19/C6</f>
        <v>17372.7475581338</v>
      </c>
    </row>
    <row r="21" customFormat="false" ht="15" hidden="false" customHeight="false" outlineLevel="0" collapsed="false">
      <c r="A21" s="4" t="s">
        <v>93</v>
      </c>
      <c r="B21" s="5"/>
      <c r="C21" s="5"/>
      <c r="D21" s="5"/>
      <c r="E21" s="5"/>
    </row>
    <row r="22" customFormat="false" ht="15" hidden="false" customHeight="false" outlineLevel="0" collapsed="false">
      <c r="A22" s="9" t="s">
        <v>94</v>
      </c>
      <c r="B22" s="17" t="s">
        <v>92</v>
      </c>
      <c r="C22" s="27" t="n">
        <f aca="false">Interim!I87</f>
        <v>15248</v>
      </c>
      <c r="D22" s="19" t="s">
        <v>95</v>
      </c>
    </row>
    <row r="23" customFormat="false" ht="15" hidden="false" customHeight="false" outlineLevel="0" collapsed="false">
      <c r="A23" s="9" t="s">
        <v>96</v>
      </c>
      <c r="B23" s="17" t="s">
        <v>92</v>
      </c>
      <c r="C23" s="26" t="n">
        <f aca="false">Interim!I64+Interim!I65</f>
        <v>660</v>
      </c>
    </row>
    <row r="24" customFormat="false" ht="15" hidden="false" customHeight="false" outlineLevel="0" collapsed="false">
      <c r="A24" s="9" t="s">
        <v>97</v>
      </c>
      <c r="B24" s="17" t="s">
        <v>91</v>
      </c>
      <c r="C24" s="23" t="n">
        <v>13214.1</v>
      </c>
      <c r="D24" s="19" t="s">
        <v>98</v>
      </c>
    </row>
    <row r="25" customFormat="false" ht="15" hidden="false" customHeight="false" outlineLevel="0" collapsed="false">
      <c r="A25" s="9" t="s">
        <v>97</v>
      </c>
      <c r="B25" s="17" t="s">
        <v>92</v>
      </c>
      <c r="C25" s="26" t="n">
        <f aca="false">C24/C6</f>
        <v>1684.39770554493</v>
      </c>
    </row>
    <row r="26" customFormat="false" ht="15" hidden="false" customHeight="false" outlineLevel="0" collapsed="false">
      <c r="A26" s="9" t="s">
        <v>99</v>
      </c>
      <c r="B26" s="17" t="s">
        <v>92</v>
      </c>
      <c r="C26" s="28" t="n">
        <v>2200</v>
      </c>
      <c r="D26" s="19" t="s">
        <v>100</v>
      </c>
    </row>
    <row r="27" customFormat="false" ht="15" hidden="false" customHeight="false" outlineLevel="0" collapsed="false">
      <c r="A27" s="9" t="s">
        <v>101</v>
      </c>
      <c r="B27" s="17" t="s">
        <v>92</v>
      </c>
      <c r="C27" s="28" t="n">
        <v>1082</v>
      </c>
      <c r="D27" s="19" t="s">
        <v>102</v>
      </c>
    </row>
    <row r="28" customFormat="false" ht="15" hidden="false" customHeight="false" outlineLevel="0" collapsed="false">
      <c r="A28" s="9" t="s">
        <v>103</v>
      </c>
      <c r="B28" s="17" t="s">
        <v>92</v>
      </c>
      <c r="C28" s="28" t="n">
        <v>357</v>
      </c>
      <c r="D28" s="19" t="s">
        <v>104</v>
      </c>
    </row>
    <row r="29" customFormat="false" ht="15" hidden="false" customHeight="false" outlineLevel="0" collapsed="false">
      <c r="A29" s="9" t="s">
        <v>105</v>
      </c>
      <c r="B29" s="17" t="s">
        <v>92</v>
      </c>
      <c r="C29" s="28" t="n">
        <v>230</v>
      </c>
      <c r="D29" s="19" t="s">
        <v>106</v>
      </c>
    </row>
    <row r="30" customFormat="false" ht="15" hidden="false" customHeight="false" outlineLevel="0" collapsed="false">
      <c r="A30" s="9" t="s">
        <v>107</v>
      </c>
      <c r="B30" s="17" t="s">
        <v>92</v>
      </c>
      <c r="C30" s="26" t="n">
        <f aca="false">C22-C23+C25-C26-C28-C29</f>
        <v>13485.3977055449</v>
      </c>
    </row>
    <row r="31" customFormat="false" ht="15" hidden="false" customHeight="false" outlineLevel="0" collapsed="false">
      <c r="A31" s="9" t="s">
        <v>108</v>
      </c>
      <c r="B31" s="17" t="s">
        <v>92</v>
      </c>
      <c r="C31" s="29" t="n">
        <v>1500</v>
      </c>
      <c r="D31" s="19" t="s">
        <v>109</v>
      </c>
    </row>
    <row r="32" customFormat="false" ht="15" hidden="false" customHeight="false" outlineLevel="0" collapsed="false">
      <c r="A32" s="9" t="s">
        <v>110</v>
      </c>
      <c r="B32" s="17" t="s">
        <v>92</v>
      </c>
      <c r="C32" s="29" t="n">
        <v>1000</v>
      </c>
      <c r="D32" s="19" t="s">
        <v>111</v>
      </c>
    </row>
    <row r="33" customFormat="false" ht="15" hidden="false" customHeight="false" outlineLevel="0" collapsed="false">
      <c r="A33" s="9" t="s">
        <v>112</v>
      </c>
      <c r="B33" s="17" t="s">
        <v>92</v>
      </c>
      <c r="C33" s="26" t="n">
        <f aca="false">Interim!I73+Interim!I74</f>
        <v>411</v>
      </c>
    </row>
    <row r="34" customFormat="false" ht="15" hidden="false" customHeight="false" outlineLevel="0" collapsed="false">
      <c r="A34" s="9" t="s">
        <v>113</v>
      </c>
      <c r="B34" s="17" t="s">
        <v>92</v>
      </c>
      <c r="C34" s="27" t="n">
        <f aca="false">Interim!I83</f>
        <v>1145</v>
      </c>
    </row>
    <row r="35" customFormat="false" ht="15" hidden="false" customHeight="false" outlineLevel="0" collapsed="false">
      <c r="A35" s="9" t="s">
        <v>114</v>
      </c>
      <c r="B35" s="17" t="s">
        <v>92</v>
      </c>
      <c r="C35" s="26" t="n">
        <f aca="false">C30-C31-C32+C33</f>
        <v>11396.3977055449</v>
      </c>
    </row>
    <row r="36" customFormat="false" ht="15" hidden="false" customHeight="false" outlineLevel="0" collapsed="false">
      <c r="A36" s="4" t="s">
        <v>115</v>
      </c>
      <c r="B36" s="5"/>
      <c r="C36" s="5"/>
      <c r="D36" s="5"/>
      <c r="E36" s="5"/>
    </row>
    <row r="37" customFormat="false" ht="15" hidden="false" customHeight="false" outlineLevel="0" collapsed="false">
      <c r="A37" s="9" t="s">
        <v>116</v>
      </c>
      <c r="B37" s="17" t="s">
        <v>80</v>
      </c>
      <c r="C37" s="23" t="n">
        <v>2568.5058</v>
      </c>
      <c r="D37" s="19" t="s">
        <v>117</v>
      </c>
    </row>
    <row r="38" customFormat="false" ht="15" hidden="false" customHeight="false" outlineLevel="0" collapsed="false">
      <c r="A38" s="9" t="s">
        <v>118</v>
      </c>
      <c r="B38" s="17" t="s">
        <v>80</v>
      </c>
      <c r="C38" s="23" t="n">
        <v>279.9925</v>
      </c>
      <c r="D38" s="19" t="s">
        <v>119</v>
      </c>
    </row>
    <row r="39" customFormat="false" ht="15" hidden="false" customHeight="false" outlineLevel="0" collapsed="false">
      <c r="A39" s="9" t="s">
        <v>120</v>
      </c>
      <c r="B39" s="17" t="s">
        <v>80</v>
      </c>
      <c r="C39" s="24" t="n">
        <f aca="false">C14-C37-C38</f>
        <v>1397.704309</v>
      </c>
    </row>
    <row r="40" customFormat="false" ht="15" hidden="false" customHeight="false" outlineLevel="0" collapsed="false">
      <c r="A40" s="9" t="s">
        <v>121</v>
      </c>
      <c r="B40" s="17" t="s">
        <v>92</v>
      </c>
      <c r="C40" s="27" t="n">
        <f aca="false">Interim!I82</f>
        <v>15105</v>
      </c>
      <c r="D40" s="19" t="s">
        <v>122</v>
      </c>
    </row>
    <row r="41" customFormat="false" ht="15" hidden="false" customHeight="false" outlineLevel="0" collapsed="false">
      <c r="A41" s="9" t="s">
        <v>123</v>
      </c>
      <c r="B41" s="17" t="s">
        <v>92</v>
      </c>
      <c r="C41" s="26" t="n">
        <f aca="false">C39*C7/C6+C26+C29</f>
        <v>11081.6916819681</v>
      </c>
    </row>
    <row r="42" customFormat="false" ht="15" hidden="false" customHeight="false" outlineLevel="0" collapsed="false">
      <c r="A42" s="9" t="s">
        <v>124</v>
      </c>
      <c r="B42" s="17" t="s">
        <v>92</v>
      </c>
      <c r="C42" s="26" t="n">
        <f aca="false">C40-C41</f>
        <v>4023.30831803187</v>
      </c>
      <c r="D42" s="19" t="s">
        <v>125</v>
      </c>
    </row>
    <row r="43" customFormat="false" ht="15" hidden="false" customHeight="false" outlineLevel="0" collapsed="false">
      <c r="A43" s="4" t="s">
        <v>126</v>
      </c>
      <c r="B43" s="5"/>
      <c r="C43" s="5"/>
      <c r="D43" s="5"/>
      <c r="E43" s="5"/>
    </row>
    <row r="44" customFormat="false" ht="15" hidden="false" customHeight="false" outlineLevel="0" collapsed="false">
      <c r="A44" s="9" t="s">
        <v>127</v>
      </c>
      <c r="B44" s="17" t="s">
        <v>88</v>
      </c>
      <c r="C44" s="25" t="n">
        <v>0.04</v>
      </c>
      <c r="D44" s="19" t="s">
        <v>128</v>
      </c>
    </row>
    <row r="45" customFormat="false" ht="15" hidden="false" customHeight="false" outlineLevel="0" collapsed="false">
      <c r="A45" s="9" t="s">
        <v>129</v>
      </c>
      <c r="B45" s="17" t="s">
        <v>130</v>
      </c>
      <c r="C45" s="21" t="n">
        <v>1.2</v>
      </c>
      <c r="D45" s="19" t="s">
        <v>131</v>
      </c>
    </row>
    <row r="46" customFormat="false" ht="15" hidden="false" customHeight="false" outlineLevel="0" collapsed="false">
      <c r="A46" s="9" t="s">
        <v>132</v>
      </c>
      <c r="B46" s="17" t="s">
        <v>88</v>
      </c>
      <c r="C46" s="25" t="n">
        <v>0.06</v>
      </c>
    </row>
    <row r="47" customFormat="false" ht="15" hidden="false" customHeight="false" outlineLevel="0" collapsed="false">
      <c r="A47" s="9" t="s">
        <v>133</v>
      </c>
      <c r="B47" s="17" t="s">
        <v>88</v>
      </c>
      <c r="C47" s="30" t="n">
        <f aca="false">C44+C45*C46</f>
        <v>0.112</v>
      </c>
      <c r="D47" s="19" t="s">
        <v>134</v>
      </c>
    </row>
    <row r="48" customFormat="false" ht="15" hidden="false" customHeight="false" outlineLevel="0" collapsed="false">
      <c r="A48" s="9" t="s">
        <v>135</v>
      </c>
      <c r="B48" s="17" t="s">
        <v>88</v>
      </c>
      <c r="C48" s="25" t="n">
        <v>0</v>
      </c>
      <c r="D48" s="19" t="s">
        <v>136</v>
      </c>
    </row>
    <row r="49" customFormat="false" ht="15" hidden="false" customHeight="false" outlineLevel="0" collapsed="false">
      <c r="A49" s="9" t="s">
        <v>137</v>
      </c>
      <c r="B49" s="17" t="s">
        <v>88</v>
      </c>
      <c r="C49" s="25" t="n">
        <v>0.045</v>
      </c>
      <c r="D49" s="19" t="s">
        <v>138</v>
      </c>
    </row>
    <row r="50" customFormat="false" ht="15" hidden="false" customHeight="false" outlineLevel="0" collapsed="false">
      <c r="A50" s="9" t="s">
        <v>139</v>
      </c>
      <c r="B50" s="17" t="s">
        <v>88</v>
      </c>
      <c r="C50" s="31" t="n">
        <f aca="false">C47*(1-C48)+C49*C48</f>
        <v>0.112</v>
      </c>
    </row>
    <row r="51" customFormat="false" ht="15" hidden="false" customHeight="false" outlineLevel="0" collapsed="false">
      <c r="A51" s="9" t="s">
        <v>140</v>
      </c>
      <c r="B51" s="17" t="s">
        <v>88</v>
      </c>
      <c r="C51" s="32" t="n">
        <v>0.025</v>
      </c>
      <c r="D51" s="19" t="s">
        <v>141</v>
      </c>
    </row>
    <row r="52" customFormat="false" ht="15" hidden="false" customHeight="false" outlineLevel="0" collapsed="false">
      <c r="A52" s="9" t="s">
        <v>142</v>
      </c>
      <c r="B52" s="17" t="s">
        <v>88</v>
      </c>
      <c r="C52" s="25" t="n">
        <v>0.22</v>
      </c>
      <c r="D52" s="19" t="s">
        <v>143</v>
      </c>
    </row>
    <row r="53" customFormat="false" ht="15" hidden="false" customHeight="false" outlineLevel="0" collapsed="false">
      <c r="A53" s="4" t="s">
        <v>144</v>
      </c>
      <c r="B53" s="5"/>
      <c r="C53" s="5"/>
      <c r="D53" s="5"/>
      <c r="E53" s="5"/>
    </row>
    <row r="54" customFormat="false" ht="15" hidden="false" customHeight="false" outlineLevel="0" collapsed="false">
      <c r="A54" s="9" t="s">
        <v>145</v>
      </c>
      <c r="B54" s="17" t="s">
        <v>130</v>
      </c>
      <c r="C54" s="33" t="n">
        <v>14</v>
      </c>
      <c r="D54" s="19" t="s">
        <v>146</v>
      </c>
    </row>
    <row r="55" customFormat="false" ht="15" hidden="false" customHeight="false" outlineLevel="0" collapsed="false">
      <c r="A55" s="9" t="s">
        <v>147</v>
      </c>
      <c r="B55" s="17" t="s">
        <v>88</v>
      </c>
      <c r="C55" s="25" t="n">
        <v>0.5</v>
      </c>
    </row>
    <row r="56" customFormat="false" ht="15" hidden="false" customHeight="false" outlineLevel="0" collapsed="false">
      <c r="A56" s="9" t="s">
        <v>148</v>
      </c>
      <c r="B56" s="17" t="s">
        <v>88</v>
      </c>
      <c r="C56" s="30" t="n">
        <f aca="false">1-C55</f>
        <v>0.5</v>
      </c>
    </row>
    <row r="57" customFormat="false" ht="15" hidden="false" customHeight="false" outlineLevel="0" collapsed="false">
      <c r="A57" s="9" t="s">
        <v>149</v>
      </c>
      <c r="B57" s="17" t="s">
        <v>88</v>
      </c>
      <c r="C57" s="25" t="n">
        <v>0.15</v>
      </c>
    </row>
    <row r="58" customFormat="false" ht="15" hidden="false" customHeight="false" outlineLevel="0" collapsed="false">
      <c r="A58" s="9" t="s">
        <v>150</v>
      </c>
      <c r="B58" s="17" t="s">
        <v>88</v>
      </c>
      <c r="C58" s="25" t="n">
        <v>-0.1</v>
      </c>
    </row>
    <row r="59" customFormat="false" ht="15" hidden="false" customHeight="false" outlineLevel="0" collapsed="false">
      <c r="A59" s="4" t="s">
        <v>151</v>
      </c>
      <c r="B59" s="5"/>
      <c r="C59" s="5"/>
      <c r="D59" s="5"/>
      <c r="E59" s="5"/>
    </row>
    <row r="60" customFormat="false" ht="15" hidden="false" customHeight="false" outlineLevel="0" collapsed="false">
      <c r="A60" s="9" t="s">
        <v>152</v>
      </c>
      <c r="B60" s="17" t="s">
        <v>88</v>
      </c>
      <c r="C60" s="25" t="n">
        <v>0.5</v>
      </c>
      <c r="D60" s="19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1" t="s">
        <v>154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155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6" t="s">
        <v>156</v>
      </c>
      <c r="C4" s="34" t="n">
        <v>2</v>
      </c>
      <c r="D4" s="35" t="str">
        <f aca="false">CHOOSE(C4,"Bull","Base","Bear")</f>
        <v>Base</v>
      </c>
    </row>
    <row r="6" customFormat="false" ht="15" hidden="false" customHeight="false" outlineLevel="0" collapsed="false">
      <c r="B6" s="36" t="s">
        <v>157</v>
      </c>
      <c r="C6" s="37" t="s">
        <v>158</v>
      </c>
      <c r="D6" s="37" t="s">
        <v>159</v>
      </c>
      <c r="E6" s="37" t="s">
        <v>160</v>
      </c>
      <c r="F6" s="37" t="s">
        <v>161</v>
      </c>
      <c r="G6" s="37" t="s">
        <v>162</v>
      </c>
    </row>
    <row r="7" customFormat="false" ht="15" hidden="false" customHeight="false" outlineLevel="0" collapsed="false">
      <c r="A7" s="4" t="s">
        <v>163</v>
      </c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9"/>
      <c r="B8" s="30" t="s">
        <v>164</v>
      </c>
      <c r="C8" s="25" t="n">
        <v>0.05</v>
      </c>
      <c r="D8" s="25" t="n">
        <v>0.06</v>
      </c>
      <c r="E8" s="25" t="n">
        <v>0.06</v>
      </c>
      <c r="F8" s="25" t="n">
        <v>0.05</v>
      </c>
      <c r="G8" s="25" t="n">
        <v>0.05</v>
      </c>
    </row>
    <row r="9" customFormat="false" ht="15" hidden="false" customHeight="false" outlineLevel="0" collapsed="false">
      <c r="A9" s="9"/>
      <c r="B9" s="30" t="s">
        <v>165</v>
      </c>
      <c r="C9" s="25" t="n">
        <v>0.02</v>
      </c>
      <c r="D9" s="25" t="n">
        <v>0.04</v>
      </c>
      <c r="E9" s="25" t="n">
        <v>0.04</v>
      </c>
      <c r="F9" s="25" t="n">
        <v>0.04</v>
      </c>
      <c r="G9" s="25" t="n">
        <v>0.035</v>
      </c>
    </row>
    <row r="10" customFormat="false" ht="15" hidden="false" customHeight="false" outlineLevel="0" collapsed="false">
      <c r="A10" s="9"/>
      <c r="B10" s="30" t="s">
        <v>166</v>
      </c>
      <c r="C10" s="25" t="n">
        <v>-0.04</v>
      </c>
      <c r="D10" s="25" t="n">
        <v>0</v>
      </c>
      <c r="E10" s="25" t="n">
        <v>0.02</v>
      </c>
      <c r="F10" s="25" t="n">
        <v>0.02</v>
      </c>
      <c r="G10" s="25" t="n">
        <v>0.02</v>
      </c>
    </row>
    <row r="11" customFormat="false" ht="15" hidden="false" customHeight="false" outlineLevel="0" collapsed="false">
      <c r="A11" s="6"/>
      <c r="B11" s="38" t="s">
        <v>167</v>
      </c>
      <c r="C11" s="38" t="n">
        <f aca="false">CHOOSE($C$4,C8,C9,C10)</f>
        <v>0.02</v>
      </c>
      <c r="D11" s="38" t="n">
        <f aca="false">CHOOSE($C$4,D8,D9,D10)</f>
        <v>0.04</v>
      </c>
      <c r="E11" s="38" t="n">
        <f aca="false">CHOOSE($C$4,E8,E9,E10)</f>
        <v>0.04</v>
      </c>
      <c r="F11" s="38" t="n">
        <f aca="false">CHOOSE($C$4,F8,F9,F10)</f>
        <v>0.04</v>
      </c>
      <c r="G11" s="38" t="n">
        <f aca="false">CHOOSE($C$4,G8,G9,G10)</f>
        <v>0.035</v>
      </c>
      <c r="H11" s="19" t="s">
        <v>168</v>
      </c>
    </row>
    <row r="12" customFormat="false" ht="15" hidden="false" customHeight="false" outlineLevel="0" collapsed="false">
      <c r="A12" s="4" t="s">
        <v>169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9"/>
      <c r="B13" s="30" t="s">
        <v>164</v>
      </c>
      <c r="C13" s="25" t="n">
        <v>0.02</v>
      </c>
      <c r="D13" s="25" t="n">
        <v>0.07</v>
      </c>
      <c r="E13" s="25" t="n">
        <v>0.07</v>
      </c>
      <c r="F13" s="25" t="n">
        <v>0.06</v>
      </c>
      <c r="G13" s="25" t="n">
        <v>0.06</v>
      </c>
    </row>
    <row r="14" customFormat="false" ht="15" hidden="false" customHeight="false" outlineLevel="0" collapsed="false">
      <c r="A14" s="9"/>
      <c r="B14" s="30" t="s">
        <v>165</v>
      </c>
      <c r="C14" s="25" t="n">
        <v>-0.04</v>
      </c>
      <c r="D14" s="25" t="n">
        <v>0.04</v>
      </c>
      <c r="E14" s="25" t="n">
        <v>0.05</v>
      </c>
      <c r="F14" s="25" t="n">
        <v>0.05</v>
      </c>
      <c r="G14" s="25" t="n">
        <v>0.045</v>
      </c>
    </row>
    <row r="15" customFormat="false" ht="15" hidden="false" customHeight="false" outlineLevel="0" collapsed="false">
      <c r="A15" s="9"/>
      <c r="B15" s="30" t="s">
        <v>166</v>
      </c>
      <c r="C15" s="25" t="n">
        <v>-0.1</v>
      </c>
      <c r="D15" s="25" t="n">
        <v>-0.02</v>
      </c>
      <c r="E15" s="25" t="n">
        <v>0.02</v>
      </c>
      <c r="F15" s="25" t="n">
        <v>0.03</v>
      </c>
      <c r="G15" s="25" t="n">
        <v>0.03</v>
      </c>
    </row>
    <row r="16" customFormat="false" ht="15" hidden="false" customHeight="false" outlineLevel="0" collapsed="false">
      <c r="A16" s="6"/>
      <c r="B16" s="38" t="s">
        <v>167</v>
      </c>
      <c r="C16" s="38" t="n">
        <f aca="false">CHOOSE($C$4,C13,C14,C15)</f>
        <v>-0.04</v>
      </c>
      <c r="D16" s="38" t="n">
        <f aca="false">CHOOSE($C$4,D13,D14,D15)</f>
        <v>0.04</v>
      </c>
      <c r="E16" s="38" t="n">
        <f aca="false">CHOOSE($C$4,E13,E14,E15)</f>
        <v>0.05</v>
      </c>
      <c r="F16" s="38" t="n">
        <f aca="false">CHOOSE($C$4,F13,F14,F15)</f>
        <v>0.05</v>
      </c>
      <c r="G16" s="38" t="n">
        <f aca="false">CHOOSE($C$4,G13,G14,G15)</f>
        <v>0.045</v>
      </c>
      <c r="H16" s="19" t="s">
        <v>170</v>
      </c>
    </row>
    <row r="17" customFormat="false" ht="15" hidden="false" customHeight="false" outlineLevel="0" collapsed="false">
      <c r="A17" s="4" t="s">
        <v>171</v>
      </c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9"/>
      <c r="B18" s="30" t="s">
        <v>164</v>
      </c>
      <c r="C18" s="25" t="n">
        <v>0.16</v>
      </c>
      <c r="D18" s="25" t="n">
        <v>0.13</v>
      </c>
      <c r="E18" s="25" t="n">
        <v>0.11</v>
      </c>
      <c r="F18" s="25" t="n">
        <v>0.1</v>
      </c>
      <c r="G18" s="25" t="n">
        <v>0.09</v>
      </c>
    </row>
    <row r="19" customFormat="false" ht="15" hidden="false" customHeight="false" outlineLevel="0" collapsed="false">
      <c r="A19" s="9"/>
      <c r="B19" s="30" t="s">
        <v>165</v>
      </c>
      <c r="C19" s="25" t="n">
        <v>0.12</v>
      </c>
      <c r="D19" s="25" t="n">
        <v>0.1</v>
      </c>
      <c r="E19" s="25" t="n">
        <v>0.09</v>
      </c>
      <c r="F19" s="25" t="n">
        <v>0.08</v>
      </c>
      <c r="G19" s="25" t="n">
        <v>0.07</v>
      </c>
    </row>
    <row r="20" customFormat="false" ht="15" hidden="false" customHeight="false" outlineLevel="0" collapsed="false">
      <c r="A20" s="9"/>
      <c r="B20" s="30" t="s">
        <v>166</v>
      </c>
      <c r="C20" s="25" t="n">
        <v>0.08</v>
      </c>
      <c r="D20" s="25" t="n">
        <v>0.07</v>
      </c>
      <c r="E20" s="25" t="n">
        <v>0.06</v>
      </c>
      <c r="F20" s="25" t="n">
        <v>0.05</v>
      </c>
      <c r="G20" s="25" t="n">
        <v>0.04</v>
      </c>
    </row>
    <row r="21" customFormat="false" ht="15" hidden="false" customHeight="false" outlineLevel="0" collapsed="false">
      <c r="A21" s="6"/>
      <c r="B21" s="38" t="s">
        <v>167</v>
      </c>
      <c r="C21" s="38" t="n">
        <f aca="false">CHOOSE($C$4,C18,C19,C20)</f>
        <v>0.12</v>
      </c>
      <c r="D21" s="38" t="n">
        <f aca="false">CHOOSE($C$4,D18,D19,D20)</f>
        <v>0.1</v>
      </c>
      <c r="E21" s="38" t="n">
        <f aca="false">CHOOSE($C$4,E18,E19,E20)</f>
        <v>0.09</v>
      </c>
      <c r="F21" s="38" t="n">
        <f aca="false">CHOOSE($C$4,F18,F19,F20)</f>
        <v>0.08</v>
      </c>
      <c r="G21" s="38" t="n">
        <f aca="false">CHOOSE($C$4,G18,G19,G20)</f>
        <v>0.07</v>
      </c>
      <c r="H21" s="19" t="s">
        <v>172</v>
      </c>
    </row>
    <row r="22" customFormat="false" ht="15" hidden="false" customHeight="false" outlineLevel="0" collapsed="false">
      <c r="A22" s="4" t="s">
        <v>173</v>
      </c>
      <c r="B22" s="5"/>
      <c r="C22" s="5"/>
      <c r="D22" s="5"/>
      <c r="E22" s="5"/>
      <c r="F22" s="5"/>
      <c r="G22" s="5"/>
      <c r="H22" s="5"/>
      <c r="I22" s="5"/>
    </row>
    <row r="23" customFormat="false" ht="15" hidden="false" customHeight="false" outlineLevel="0" collapsed="false">
      <c r="A23" s="9"/>
      <c r="B23" s="30" t="s">
        <v>164</v>
      </c>
      <c r="C23" s="25" t="n">
        <v>0.145</v>
      </c>
      <c r="D23" s="25" t="n">
        <v>0.15</v>
      </c>
      <c r="E23" s="25" t="n">
        <v>0.155</v>
      </c>
      <c r="F23" s="25" t="n">
        <v>0.16</v>
      </c>
      <c r="G23" s="25" t="n">
        <v>0.163</v>
      </c>
    </row>
    <row r="24" customFormat="false" ht="15" hidden="false" customHeight="false" outlineLevel="0" collapsed="false">
      <c r="A24" s="9"/>
      <c r="B24" s="30" t="s">
        <v>165</v>
      </c>
      <c r="C24" s="25" t="n">
        <v>0.145</v>
      </c>
      <c r="D24" s="25" t="n">
        <v>0.15</v>
      </c>
      <c r="E24" s="25" t="n">
        <v>0.155</v>
      </c>
      <c r="F24" s="25" t="n">
        <v>0.16</v>
      </c>
      <c r="G24" s="25" t="n">
        <v>0.163</v>
      </c>
    </row>
    <row r="25" customFormat="false" ht="15" hidden="false" customHeight="false" outlineLevel="0" collapsed="false">
      <c r="A25" s="9"/>
      <c r="B25" s="30" t="s">
        <v>166</v>
      </c>
      <c r="C25" s="25" t="n">
        <v>0.145</v>
      </c>
      <c r="D25" s="25" t="n">
        <v>0.15</v>
      </c>
      <c r="E25" s="25" t="n">
        <v>0.155</v>
      </c>
      <c r="F25" s="25" t="n">
        <v>0.16</v>
      </c>
      <c r="G25" s="25" t="n">
        <v>0.163</v>
      </c>
    </row>
    <row r="26" customFormat="false" ht="15" hidden="false" customHeight="false" outlineLevel="0" collapsed="false">
      <c r="A26" s="6"/>
      <c r="B26" s="38" t="s">
        <v>167</v>
      </c>
      <c r="C26" s="38" t="n">
        <f aca="false">CHOOSE($C$4,C23,C24,C25)</f>
        <v>0.145</v>
      </c>
      <c r="D26" s="38" t="n">
        <f aca="false">CHOOSE($C$4,D23,D24,D25)</f>
        <v>0.15</v>
      </c>
      <c r="E26" s="38" t="n">
        <f aca="false">CHOOSE($C$4,E23,E24,E25)</f>
        <v>0.155</v>
      </c>
      <c r="F26" s="38" t="n">
        <f aca="false">CHOOSE($C$4,F23,F24,F25)</f>
        <v>0.16</v>
      </c>
      <c r="G26" s="38" t="n">
        <f aca="false">CHOOSE($C$4,G23,G24,G25)</f>
        <v>0.163</v>
      </c>
      <c r="H26" s="19" t="s">
        <v>174</v>
      </c>
    </row>
    <row r="27" customFormat="false" ht="15" hidden="false" customHeight="false" outlineLevel="0" collapsed="false">
      <c r="A27" s="4" t="s">
        <v>175</v>
      </c>
      <c r="B27" s="5"/>
      <c r="C27" s="5"/>
      <c r="D27" s="5"/>
      <c r="E27" s="5"/>
      <c r="F27" s="5"/>
      <c r="G27" s="5"/>
      <c r="H27" s="5"/>
      <c r="I27" s="5"/>
    </row>
    <row r="28" customFormat="false" ht="15" hidden="false" customHeight="false" outlineLevel="0" collapsed="false">
      <c r="A28" s="9"/>
      <c r="B28" s="30" t="s">
        <v>164</v>
      </c>
      <c r="C28" s="25" t="n">
        <v>0.34</v>
      </c>
      <c r="D28" s="25" t="n">
        <v>0.338</v>
      </c>
      <c r="E28" s="25" t="n">
        <v>0.336</v>
      </c>
      <c r="F28" s="25" t="n">
        <v>0.335</v>
      </c>
      <c r="G28" s="25" t="n">
        <v>0.335</v>
      </c>
    </row>
    <row r="29" customFormat="false" ht="15" hidden="false" customHeight="false" outlineLevel="0" collapsed="false">
      <c r="A29" s="9"/>
      <c r="B29" s="30" t="s">
        <v>165</v>
      </c>
      <c r="C29" s="25" t="n">
        <v>0.343</v>
      </c>
      <c r="D29" s="25" t="n">
        <v>0.342</v>
      </c>
      <c r="E29" s="25" t="n">
        <v>0.341</v>
      </c>
      <c r="F29" s="25" t="n">
        <v>0.34</v>
      </c>
      <c r="G29" s="25" t="n">
        <v>0.34</v>
      </c>
    </row>
    <row r="30" customFormat="false" ht="15" hidden="false" customHeight="false" outlineLevel="0" collapsed="false">
      <c r="A30" s="9"/>
      <c r="B30" s="30" t="s">
        <v>166</v>
      </c>
      <c r="C30" s="25" t="n">
        <v>0.346</v>
      </c>
      <c r="D30" s="25" t="n">
        <v>0.346</v>
      </c>
      <c r="E30" s="25" t="n">
        <v>0.346</v>
      </c>
      <c r="F30" s="25" t="n">
        <v>0.346</v>
      </c>
      <c r="G30" s="25" t="n">
        <v>0.346</v>
      </c>
    </row>
    <row r="31" customFormat="false" ht="15" hidden="false" customHeight="false" outlineLevel="0" collapsed="false">
      <c r="A31" s="6"/>
      <c r="B31" s="38" t="s">
        <v>167</v>
      </c>
      <c r="C31" s="38" t="n">
        <f aca="false">CHOOSE($C$4,C28,C29,C30)</f>
        <v>0.343</v>
      </c>
      <c r="D31" s="38" t="n">
        <f aca="false">CHOOSE($C$4,D28,D29,D30)</f>
        <v>0.342</v>
      </c>
      <c r="E31" s="38" t="n">
        <f aca="false">CHOOSE($C$4,E28,E29,E30)</f>
        <v>0.341</v>
      </c>
      <c r="F31" s="38" t="n">
        <f aca="false">CHOOSE($C$4,F28,F29,F30)</f>
        <v>0.34</v>
      </c>
      <c r="G31" s="38" t="n">
        <f aca="false">CHOOSE($C$4,G28,G29,G30)</f>
        <v>0.34</v>
      </c>
      <c r="H31" s="19" t="s">
        <v>176</v>
      </c>
    </row>
    <row r="32" customFormat="false" ht="15" hidden="false" customHeight="false" outlineLevel="0" collapsed="false">
      <c r="A32" s="4" t="s">
        <v>177</v>
      </c>
      <c r="B32" s="5"/>
      <c r="C32" s="5"/>
      <c r="D32" s="5"/>
      <c r="E32" s="5"/>
      <c r="F32" s="5"/>
      <c r="G32" s="5"/>
      <c r="H32" s="5"/>
      <c r="I32" s="5"/>
    </row>
    <row r="33" customFormat="false" ht="15" hidden="false" customHeight="false" outlineLevel="0" collapsed="false">
      <c r="A33" s="9"/>
      <c r="B33" s="30" t="s">
        <v>164</v>
      </c>
      <c r="C33" s="25" t="n">
        <v>0.498</v>
      </c>
      <c r="D33" s="25" t="n">
        <v>0.495</v>
      </c>
      <c r="E33" s="25" t="n">
        <v>0.493</v>
      </c>
      <c r="F33" s="25" t="n">
        <v>0.493</v>
      </c>
      <c r="G33" s="25" t="n">
        <v>0.493</v>
      </c>
    </row>
    <row r="34" customFormat="false" ht="15" hidden="false" customHeight="false" outlineLevel="0" collapsed="false">
      <c r="A34" s="9"/>
      <c r="B34" s="30" t="s">
        <v>165</v>
      </c>
      <c r="C34" s="25" t="n">
        <v>0.505</v>
      </c>
      <c r="D34" s="25" t="n">
        <v>0.502</v>
      </c>
      <c r="E34" s="25" t="n">
        <v>0.5</v>
      </c>
      <c r="F34" s="25" t="n">
        <v>0.5</v>
      </c>
      <c r="G34" s="25" t="n">
        <v>0.5</v>
      </c>
    </row>
    <row r="35" customFormat="false" ht="15" hidden="false" customHeight="false" outlineLevel="0" collapsed="false">
      <c r="A35" s="9"/>
      <c r="B35" s="30" t="s">
        <v>166</v>
      </c>
      <c r="C35" s="25" t="n">
        <v>0.512</v>
      </c>
      <c r="D35" s="25" t="n">
        <v>0.51</v>
      </c>
      <c r="E35" s="25" t="n">
        <v>0.508</v>
      </c>
      <c r="F35" s="25" t="n">
        <v>0.508</v>
      </c>
      <c r="G35" s="25" t="n">
        <v>0.508</v>
      </c>
    </row>
    <row r="36" customFormat="false" ht="15" hidden="false" customHeight="false" outlineLevel="0" collapsed="false">
      <c r="A36" s="6"/>
      <c r="B36" s="38" t="s">
        <v>167</v>
      </c>
      <c r="C36" s="38" t="n">
        <f aca="false">CHOOSE($C$4,C33,C34,C35)</f>
        <v>0.505</v>
      </c>
      <c r="D36" s="38" t="n">
        <f aca="false">CHOOSE($C$4,D33,D34,D35)</f>
        <v>0.502</v>
      </c>
      <c r="E36" s="38" t="n">
        <f aca="false">CHOOSE($C$4,E33,E34,E35)</f>
        <v>0.5</v>
      </c>
      <c r="F36" s="38" t="n">
        <f aca="false">CHOOSE($C$4,F33,F34,F35)</f>
        <v>0.5</v>
      </c>
      <c r="G36" s="38" t="n">
        <f aca="false">CHOOSE($C$4,G33,G34,G35)</f>
        <v>0.5</v>
      </c>
      <c r="H36" s="19" t="s">
        <v>178</v>
      </c>
    </row>
    <row r="37" customFormat="false" ht="15" hidden="false" customHeight="false" outlineLevel="0" collapsed="false">
      <c r="A37" s="4" t="s">
        <v>179</v>
      </c>
      <c r="B37" s="5"/>
      <c r="C37" s="5"/>
      <c r="D37" s="5"/>
      <c r="E37" s="5"/>
      <c r="F37" s="5"/>
      <c r="G37" s="5"/>
      <c r="H37" s="5"/>
      <c r="I37" s="5"/>
    </row>
    <row r="38" customFormat="false" ht="15" hidden="false" customHeight="false" outlineLevel="0" collapsed="false">
      <c r="A38" s="9"/>
      <c r="B38" s="30" t="s">
        <v>164</v>
      </c>
      <c r="C38" s="25" t="n">
        <v>0.133</v>
      </c>
      <c r="D38" s="25" t="n">
        <v>0.13</v>
      </c>
      <c r="E38" s="25" t="n">
        <v>0.128</v>
      </c>
      <c r="F38" s="25" t="n">
        <v>0.128</v>
      </c>
      <c r="G38" s="25" t="n">
        <v>0.128</v>
      </c>
    </row>
    <row r="39" customFormat="false" ht="15" hidden="false" customHeight="false" outlineLevel="0" collapsed="false">
      <c r="A39" s="9"/>
      <c r="B39" s="30" t="s">
        <v>165</v>
      </c>
      <c r="C39" s="25" t="n">
        <v>0.135</v>
      </c>
      <c r="D39" s="25" t="n">
        <v>0.133</v>
      </c>
      <c r="E39" s="25" t="n">
        <v>0.132</v>
      </c>
      <c r="F39" s="25" t="n">
        <v>0.132</v>
      </c>
      <c r="G39" s="25" t="n">
        <v>0.132</v>
      </c>
    </row>
    <row r="40" customFormat="false" ht="15" hidden="false" customHeight="false" outlineLevel="0" collapsed="false">
      <c r="A40" s="9"/>
      <c r="B40" s="30" t="s">
        <v>166</v>
      </c>
      <c r="C40" s="25" t="n">
        <v>0.138</v>
      </c>
      <c r="D40" s="25" t="n">
        <v>0.138</v>
      </c>
      <c r="E40" s="25" t="n">
        <v>0.136</v>
      </c>
      <c r="F40" s="25" t="n">
        <v>0.136</v>
      </c>
      <c r="G40" s="25" t="n">
        <v>0.136</v>
      </c>
    </row>
    <row r="41" customFormat="false" ht="15" hidden="false" customHeight="false" outlineLevel="0" collapsed="false">
      <c r="A41" s="6"/>
      <c r="B41" s="38" t="s">
        <v>167</v>
      </c>
      <c r="C41" s="38" t="n">
        <f aca="false">CHOOSE($C$4,C38,C39,C40)</f>
        <v>0.135</v>
      </c>
      <c r="D41" s="38" t="n">
        <f aca="false">CHOOSE($C$4,D38,D39,D40)</f>
        <v>0.133</v>
      </c>
      <c r="E41" s="38" t="n">
        <f aca="false">CHOOSE($C$4,E38,E39,E40)</f>
        <v>0.132</v>
      </c>
      <c r="F41" s="38" t="n">
        <f aca="false">CHOOSE($C$4,F38,F39,F40)</f>
        <v>0.132</v>
      </c>
      <c r="G41" s="38" t="n">
        <f aca="false">CHOOSE($C$4,G38,G39,G40)</f>
        <v>0.132</v>
      </c>
      <c r="H41" s="19" t="s">
        <v>180</v>
      </c>
    </row>
    <row r="42" customFormat="false" ht="15" hidden="false" customHeight="false" outlineLevel="0" collapsed="false">
      <c r="A42" s="4" t="s">
        <v>181</v>
      </c>
      <c r="B42" s="5"/>
      <c r="C42" s="5"/>
      <c r="D42" s="5"/>
      <c r="E42" s="5"/>
      <c r="F42" s="5"/>
      <c r="G42" s="5"/>
      <c r="H42" s="5"/>
      <c r="I42" s="5"/>
    </row>
    <row r="43" customFormat="false" ht="15" hidden="false" customHeight="false" outlineLevel="0" collapsed="false">
      <c r="A43" s="9"/>
      <c r="B43" s="30" t="s">
        <v>164</v>
      </c>
      <c r="C43" s="25" t="n">
        <v>0.023</v>
      </c>
      <c r="D43" s="25" t="n">
        <v>0.023</v>
      </c>
      <c r="E43" s="25" t="n">
        <v>0.023</v>
      </c>
      <c r="F43" s="25" t="n">
        <v>0.023</v>
      </c>
      <c r="G43" s="25" t="n">
        <v>0.023</v>
      </c>
    </row>
    <row r="44" customFormat="false" ht="15" hidden="false" customHeight="false" outlineLevel="0" collapsed="false">
      <c r="A44" s="9"/>
      <c r="B44" s="30" t="s">
        <v>165</v>
      </c>
      <c r="C44" s="25" t="n">
        <v>0.024</v>
      </c>
      <c r="D44" s="25" t="n">
        <v>0.024</v>
      </c>
      <c r="E44" s="25" t="n">
        <v>0.024</v>
      </c>
      <c r="F44" s="25" t="n">
        <v>0.024</v>
      </c>
      <c r="G44" s="25" t="n">
        <v>0.024</v>
      </c>
    </row>
    <row r="45" customFormat="false" ht="15" hidden="false" customHeight="false" outlineLevel="0" collapsed="false">
      <c r="A45" s="9"/>
      <c r="B45" s="30" t="s">
        <v>166</v>
      </c>
      <c r="C45" s="25" t="n">
        <v>0.025</v>
      </c>
      <c r="D45" s="25" t="n">
        <v>0.025</v>
      </c>
      <c r="E45" s="25" t="n">
        <v>0.025</v>
      </c>
      <c r="F45" s="25" t="n">
        <v>0.025</v>
      </c>
      <c r="G45" s="25" t="n">
        <v>0.025</v>
      </c>
    </row>
    <row r="46" customFormat="false" ht="15" hidden="false" customHeight="false" outlineLevel="0" collapsed="false">
      <c r="A46" s="6"/>
      <c r="B46" s="38" t="s">
        <v>167</v>
      </c>
      <c r="C46" s="38" t="n">
        <f aca="false">CHOOSE($C$4,C43,C44,C45)</f>
        <v>0.024</v>
      </c>
      <c r="D46" s="38" t="n">
        <f aca="false">CHOOSE($C$4,D43,D44,D45)</f>
        <v>0.024</v>
      </c>
      <c r="E46" s="38" t="n">
        <f aca="false">CHOOSE($C$4,E43,E44,E45)</f>
        <v>0.024</v>
      </c>
      <c r="F46" s="38" t="n">
        <f aca="false">CHOOSE($C$4,F43,F44,F45)</f>
        <v>0.024</v>
      </c>
      <c r="G46" s="38" t="n">
        <f aca="false">CHOOSE($C$4,G43,G44,G45)</f>
        <v>0.024</v>
      </c>
      <c r="H46" s="19" t="s">
        <v>182</v>
      </c>
    </row>
    <row r="47" customFormat="false" ht="15" hidden="false" customHeight="false" outlineLevel="0" collapsed="false">
      <c r="A47" s="4" t="s">
        <v>183</v>
      </c>
      <c r="B47" s="5"/>
      <c r="C47" s="5"/>
      <c r="D47" s="5"/>
      <c r="E47" s="5"/>
      <c r="F47" s="5"/>
      <c r="G47" s="5"/>
      <c r="H47" s="5"/>
      <c r="I47" s="5"/>
    </row>
    <row r="48" customFormat="false" ht="15" hidden="false" customHeight="false" outlineLevel="0" collapsed="false">
      <c r="A48" s="9"/>
      <c r="B48" s="30" t="s">
        <v>164</v>
      </c>
      <c r="C48" s="25" t="n">
        <v>0.012</v>
      </c>
      <c r="D48" s="25" t="n">
        <v>0.012</v>
      </c>
      <c r="E48" s="25" t="n">
        <v>0.012</v>
      </c>
      <c r="F48" s="25" t="n">
        <v>0.012</v>
      </c>
      <c r="G48" s="25" t="n">
        <v>0.012</v>
      </c>
    </row>
    <row r="49" customFormat="false" ht="15" hidden="false" customHeight="false" outlineLevel="0" collapsed="false">
      <c r="A49" s="9"/>
      <c r="B49" s="30" t="s">
        <v>165</v>
      </c>
      <c r="C49" s="25" t="n">
        <v>0.013</v>
      </c>
      <c r="D49" s="25" t="n">
        <v>0.013</v>
      </c>
      <c r="E49" s="25" t="n">
        <v>0.013</v>
      </c>
      <c r="F49" s="25" t="n">
        <v>0.013</v>
      </c>
      <c r="G49" s="25" t="n">
        <v>0.013</v>
      </c>
    </row>
    <row r="50" customFormat="false" ht="15" hidden="false" customHeight="false" outlineLevel="0" collapsed="false">
      <c r="A50" s="9"/>
      <c r="B50" s="30" t="s">
        <v>166</v>
      </c>
      <c r="C50" s="25" t="n">
        <v>0.014</v>
      </c>
      <c r="D50" s="25" t="n">
        <v>0.014</v>
      </c>
      <c r="E50" s="25" t="n">
        <v>0.014</v>
      </c>
      <c r="F50" s="25" t="n">
        <v>0.014</v>
      </c>
      <c r="G50" s="25" t="n">
        <v>0.014</v>
      </c>
    </row>
    <row r="51" customFormat="false" ht="15" hidden="false" customHeight="false" outlineLevel="0" collapsed="false">
      <c r="A51" s="6"/>
      <c r="B51" s="38" t="s">
        <v>167</v>
      </c>
      <c r="C51" s="38" t="n">
        <f aca="false">CHOOSE($C$4,C48,C49,C50)</f>
        <v>0.013</v>
      </c>
      <c r="D51" s="38" t="n">
        <f aca="false">CHOOSE($C$4,D48,D49,D50)</f>
        <v>0.013</v>
      </c>
      <c r="E51" s="38" t="n">
        <f aca="false">CHOOSE($C$4,E48,E49,E50)</f>
        <v>0.013</v>
      </c>
      <c r="F51" s="38" t="n">
        <f aca="false">CHOOSE($C$4,F48,F49,F50)</f>
        <v>0.013</v>
      </c>
      <c r="G51" s="38" t="n">
        <f aca="false">CHOOSE($C$4,G48,G49,G50)</f>
        <v>0.013</v>
      </c>
      <c r="H51" s="19" t="s">
        <v>184</v>
      </c>
    </row>
    <row r="52" customFormat="false" ht="15" hidden="false" customHeight="false" outlineLevel="0" collapsed="false">
      <c r="A52" s="4" t="s">
        <v>185</v>
      </c>
      <c r="B52" s="5"/>
      <c r="C52" s="5"/>
      <c r="D52" s="5"/>
      <c r="E52" s="5"/>
      <c r="F52" s="5"/>
      <c r="G52" s="5"/>
      <c r="H52" s="5"/>
      <c r="I52" s="5"/>
    </row>
    <row r="53" customFormat="false" ht="15" hidden="false" customHeight="false" outlineLevel="0" collapsed="false">
      <c r="A53" s="9"/>
      <c r="B53" s="30" t="s">
        <v>164</v>
      </c>
      <c r="C53" s="25" t="n">
        <v>0.08</v>
      </c>
      <c r="D53" s="25" t="n">
        <v>0.07</v>
      </c>
      <c r="E53" s="25" t="n">
        <v>0.06</v>
      </c>
      <c r="F53" s="25" t="n">
        <v>0.05</v>
      </c>
      <c r="G53" s="25" t="n">
        <v>0.05</v>
      </c>
    </row>
    <row r="54" customFormat="false" ht="15" hidden="false" customHeight="false" outlineLevel="0" collapsed="false">
      <c r="A54" s="9"/>
      <c r="B54" s="30" t="s">
        <v>165</v>
      </c>
      <c r="C54" s="25" t="n">
        <v>0.06</v>
      </c>
      <c r="D54" s="25" t="n">
        <v>0.05</v>
      </c>
      <c r="E54" s="25" t="n">
        <v>0.04</v>
      </c>
      <c r="F54" s="25" t="n">
        <v>0.04</v>
      </c>
      <c r="G54" s="25" t="n">
        <v>0.035</v>
      </c>
    </row>
    <row r="55" customFormat="false" ht="15" hidden="false" customHeight="false" outlineLevel="0" collapsed="false">
      <c r="A55" s="9"/>
      <c r="B55" s="30" t="s">
        <v>166</v>
      </c>
      <c r="C55" s="25" t="n">
        <v>0.03</v>
      </c>
      <c r="D55" s="25" t="n">
        <v>0.02</v>
      </c>
      <c r="E55" s="25" t="n">
        <v>0.02</v>
      </c>
      <c r="F55" s="25" t="n">
        <v>0.02</v>
      </c>
      <c r="G55" s="25" t="n">
        <v>0.02</v>
      </c>
    </row>
    <row r="56" customFormat="false" ht="15" hidden="false" customHeight="false" outlineLevel="0" collapsed="false">
      <c r="A56" s="6"/>
      <c r="B56" s="38" t="s">
        <v>167</v>
      </c>
      <c r="C56" s="38" t="n">
        <f aca="false">CHOOSE($C$4,C53,C54,C55)</f>
        <v>0.06</v>
      </c>
      <c r="D56" s="38" t="n">
        <f aca="false">CHOOSE($C$4,D53,D54,D55)</f>
        <v>0.05</v>
      </c>
      <c r="E56" s="38" t="n">
        <f aca="false">CHOOSE($C$4,E53,E54,E55)</f>
        <v>0.04</v>
      </c>
      <c r="F56" s="38" t="n">
        <f aca="false">CHOOSE($C$4,F53,F54,F55)</f>
        <v>0.04</v>
      </c>
      <c r="G56" s="38" t="n">
        <f aca="false">CHOOSE($C$4,G53,G54,G55)</f>
        <v>0.035</v>
      </c>
      <c r="H56" s="19" t="s">
        <v>186</v>
      </c>
    </row>
    <row r="57" customFormat="false" ht="15" hidden="false" customHeight="false" outlineLevel="0" collapsed="false">
      <c r="A57" s="4" t="s">
        <v>187</v>
      </c>
      <c r="B57" s="5"/>
      <c r="C57" s="5"/>
      <c r="D57" s="5"/>
      <c r="E57" s="5"/>
      <c r="F57" s="5"/>
      <c r="G57" s="5"/>
      <c r="H57" s="5"/>
      <c r="I57" s="5"/>
    </row>
    <row r="58" customFormat="false" ht="15" hidden="false" customHeight="false" outlineLevel="0" collapsed="false">
      <c r="A58" s="9"/>
      <c r="B58" s="39" t="s">
        <v>164</v>
      </c>
      <c r="C58" s="21" t="n">
        <v>3.9</v>
      </c>
      <c r="D58" s="21" t="n">
        <v>3.95</v>
      </c>
      <c r="E58" s="21" t="n">
        <v>4</v>
      </c>
      <c r="F58" s="21" t="n">
        <v>4.05</v>
      </c>
      <c r="G58" s="21" t="n">
        <v>4.1</v>
      </c>
    </row>
    <row r="59" customFormat="false" ht="15" hidden="false" customHeight="false" outlineLevel="0" collapsed="false">
      <c r="A59" s="9"/>
      <c r="B59" s="39" t="s">
        <v>165</v>
      </c>
      <c r="C59" s="21" t="n">
        <v>3.85</v>
      </c>
      <c r="D59" s="21" t="n">
        <v>3.9</v>
      </c>
      <c r="E59" s="21" t="n">
        <v>3.95</v>
      </c>
      <c r="F59" s="21" t="n">
        <v>4</v>
      </c>
      <c r="G59" s="21" t="n">
        <v>4</v>
      </c>
    </row>
    <row r="60" customFormat="false" ht="15" hidden="false" customHeight="false" outlineLevel="0" collapsed="false">
      <c r="A60" s="9"/>
      <c r="B60" s="39" t="s">
        <v>166</v>
      </c>
      <c r="C60" s="21" t="n">
        <v>3.8</v>
      </c>
      <c r="D60" s="21" t="n">
        <v>3.8</v>
      </c>
      <c r="E60" s="21" t="n">
        <v>3.8</v>
      </c>
      <c r="F60" s="21" t="n">
        <v>3.8</v>
      </c>
      <c r="G60" s="21" t="n">
        <v>3.8</v>
      </c>
    </row>
    <row r="61" customFormat="false" ht="15" hidden="false" customHeight="false" outlineLevel="0" collapsed="false">
      <c r="A61" s="6"/>
      <c r="B61" s="40" t="s">
        <v>167</v>
      </c>
      <c r="C61" s="40" t="n">
        <f aca="false">CHOOSE($C$4,C58,C59,C60)</f>
        <v>3.85</v>
      </c>
      <c r="D61" s="40" t="n">
        <f aca="false">CHOOSE($C$4,D58,D59,D60)</f>
        <v>3.9</v>
      </c>
      <c r="E61" s="40" t="n">
        <f aca="false">CHOOSE($C$4,E58,E59,E60)</f>
        <v>3.95</v>
      </c>
      <c r="F61" s="40" t="n">
        <f aca="false">CHOOSE($C$4,F58,F59,F60)</f>
        <v>4</v>
      </c>
      <c r="G61" s="40" t="n">
        <f aca="false">CHOOSE($C$4,G58,G59,G60)</f>
        <v>4</v>
      </c>
      <c r="H61" s="19" t="s">
        <v>188</v>
      </c>
    </row>
    <row r="63" customFormat="false" ht="15" hidden="false" customHeight="false" outlineLevel="0" collapsed="false">
      <c r="A63" s="4" t="s">
        <v>189</v>
      </c>
      <c r="B63" s="5"/>
      <c r="C63" s="5"/>
      <c r="D63" s="5"/>
      <c r="E63" s="5"/>
      <c r="F63" s="5"/>
      <c r="G63" s="5"/>
      <c r="H63" s="5"/>
      <c r="I63" s="5"/>
    </row>
    <row r="64" customFormat="false" ht="15" hidden="false" customHeight="false" outlineLevel="0" collapsed="false">
      <c r="C64" s="37" t="s">
        <v>164</v>
      </c>
      <c r="D64" s="37" t="s">
        <v>165</v>
      </c>
      <c r="E64" s="37" t="s">
        <v>166</v>
      </c>
      <c r="F64" s="37" t="s">
        <v>190</v>
      </c>
    </row>
    <row r="65" customFormat="false" ht="15" hidden="false" customHeight="false" outlineLevel="0" collapsed="false">
      <c r="A65" s="9" t="s">
        <v>191</v>
      </c>
      <c r="C65" s="26" t="n">
        <v>45735.306</v>
      </c>
      <c r="D65" s="26" t="n">
        <v>43889.5416</v>
      </c>
      <c r="E65" s="26" t="n">
        <v>41767.9008</v>
      </c>
      <c r="F65" s="27" t="n">
        <f aca="false">'Income Statement'!G6</f>
        <v>43889.5416</v>
      </c>
    </row>
    <row r="66" customFormat="false" ht="15" hidden="false" customHeight="false" outlineLevel="0" collapsed="false">
      <c r="A66" s="9" t="s">
        <v>192</v>
      </c>
      <c r="C66" s="26" t="n">
        <v>63310.6727246832</v>
      </c>
      <c r="D66" s="26" t="n">
        <v>56375.6445205194</v>
      </c>
      <c r="E66" s="26" t="n">
        <v>48063.1120336728</v>
      </c>
      <c r="F66" s="27" t="n">
        <f aca="false">'Income Statement'!K6</f>
        <v>56375.6445205194</v>
      </c>
    </row>
    <row r="67" customFormat="false" ht="15" hidden="false" customHeight="false" outlineLevel="0" collapsed="false">
      <c r="A67" s="9" t="s">
        <v>193</v>
      </c>
      <c r="C67" s="30" t="n">
        <v>0.0861472333817228</v>
      </c>
      <c r="D67" s="30" t="n">
        <v>0.0612351316918511</v>
      </c>
      <c r="E67" s="30" t="n">
        <v>0.027911422588307</v>
      </c>
      <c r="F67" s="30" t="n">
        <f aca="false">('Income Statement'!K6/'Income Statement'!F6)^(1/5)-1</f>
        <v>0.0612351316918511</v>
      </c>
    </row>
    <row r="68" customFormat="false" ht="15" hidden="false" customHeight="false" outlineLevel="0" collapsed="false">
      <c r="A68" s="9" t="s">
        <v>194</v>
      </c>
      <c r="C68" s="30" t="n">
        <v>0.0454864946087821</v>
      </c>
      <c r="D68" s="30" t="n">
        <v>0.0320134471278235</v>
      </c>
      <c r="E68" s="30" t="n">
        <v>0.0175641830469009</v>
      </c>
      <c r="F68" s="41" t="n">
        <f aca="false">'Income Statement'!G34</f>
        <v>0.0320134471278235</v>
      </c>
    </row>
    <row r="69" customFormat="false" ht="15" hidden="false" customHeight="false" outlineLevel="0" collapsed="false">
      <c r="A69" s="9" t="s">
        <v>195</v>
      </c>
      <c r="C69" s="30" t="n">
        <v>0.0655004150198632</v>
      </c>
      <c r="D69" s="30" t="n">
        <v>0.0485485787687328</v>
      </c>
      <c r="E69" s="30" t="n">
        <v>0.029894717231209</v>
      </c>
      <c r="F69" s="41" t="n">
        <f aca="false">'Income Statement'!K34</f>
        <v>0.0485485787687328</v>
      </c>
    </row>
    <row r="70" customFormat="false" ht="15" hidden="false" customHeight="false" outlineLevel="0" collapsed="false">
      <c r="A70" s="9" t="s">
        <v>196</v>
      </c>
      <c r="C70" s="26" t="n">
        <v>1981.91193103001</v>
      </c>
      <c r="D70" s="26" t="n">
        <v>1457.3505557253</v>
      </c>
      <c r="E70" s="26" t="n">
        <v>936.112433276091</v>
      </c>
      <c r="F70" s="27" t="n">
        <f aca="false">'Income Statement'!G58</f>
        <v>1457.3505557253</v>
      </c>
    </row>
    <row r="71" customFormat="false" ht="15" hidden="false" customHeight="false" outlineLevel="0" collapsed="false">
      <c r="A71" s="9" t="s">
        <v>197</v>
      </c>
      <c r="C71" s="39" t="n">
        <v>3.50077461158789</v>
      </c>
      <c r="D71" s="39" t="n">
        <v>2.57420914914981</v>
      </c>
      <c r="E71" s="39" t="n">
        <v>1.65351375542785</v>
      </c>
      <c r="F71" s="42" t="n">
        <f aca="false">'Income Statement'!G66</f>
        <v>2.57420914914981</v>
      </c>
    </row>
    <row r="72" customFormat="false" ht="15" hidden="false" customHeight="false" outlineLevel="0" collapsed="false">
      <c r="A72" s="9" t="s">
        <v>198</v>
      </c>
      <c r="C72" s="26" t="n">
        <v>3749.21835333841</v>
      </c>
      <c r="D72" s="26" t="n">
        <v>2588.68243329539</v>
      </c>
      <c r="E72" s="26" t="n">
        <v>1513.51141620412</v>
      </c>
      <c r="F72" s="27" t="n">
        <f aca="false">'Income Statement'!K58</f>
        <v>2588.68243329539</v>
      </c>
    </row>
    <row r="73" customFormat="false" ht="15" hidden="false" customHeight="false" outlineLevel="0" collapsed="false">
      <c r="A73" s="9" t="s">
        <v>199</v>
      </c>
      <c r="C73" s="26" t="n">
        <v>12843.0229328447</v>
      </c>
      <c r="D73" s="26" t="n">
        <v>8081.65409575354</v>
      </c>
      <c r="E73" s="26" t="n">
        <v>3369.93971309546</v>
      </c>
      <c r="F73" s="26" t="n">
        <f aca="false">SUM(DCF!D16:I16)</f>
        <v>8081.65409575354</v>
      </c>
    </row>
    <row r="74" customFormat="false" ht="15" hidden="false" customHeight="false" outlineLevel="0" collapsed="false">
      <c r="A74" s="9" t="s">
        <v>200</v>
      </c>
      <c r="C74" s="39" t="n">
        <v>73.638405634674</v>
      </c>
      <c r="D74" s="39" t="n">
        <v>54.3524379710036</v>
      </c>
      <c r="E74" s="39" t="n">
        <v>36.1279008703451</v>
      </c>
      <c r="F74" s="42" t="n">
        <f aca="false">DCF!C49</f>
        <v>54.3524379710036</v>
      </c>
    </row>
    <row r="75" customFormat="false" ht="15" hidden="false" customHeight="false" outlineLevel="0" collapsed="false">
      <c r="A75" s="9" t="s">
        <v>201</v>
      </c>
      <c r="C75" s="39" t="n">
        <v>49.0108445622304</v>
      </c>
      <c r="D75" s="39" t="n">
        <v>36.0389280880973</v>
      </c>
      <c r="E75" s="39" t="n">
        <v>23.1491925759899</v>
      </c>
      <c r="F75" s="42" t="n">
        <f aca="false">'Valuation Summary'!C7</f>
        <v>36.0389280880973</v>
      </c>
    </row>
    <row r="76" customFormat="false" ht="15" hidden="false" customHeight="false" outlineLevel="0" collapsed="false">
      <c r="A76" s="9" t="s">
        <v>202</v>
      </c>
      <c r="C76" s="39" t="n">
        <v>61.3246250984522</v>
      </c>
      <c r="D76" s="39" t="n">
        <v>45.1956830295505</v>
      </c>
      <c r="E76" s="39" t="n">
        <v>29.6385467231675</v>
      </c>
      <c r="F76" s="42" t="n">
        <f aca="false">'Valuation Summary'!C8</f>
        <v>45.1956830295505</v>
      </c>
    </row>
    <row r="77" customFormat="false" ht="15" hidden="false" customHeight="false" outlineLevel="0" collapsed="false">
      <c r="A77" s="9" t="s">
        <v>203</v>
      </c>
      <c r="C77" s="30" t="n">
        <v>0.988476819015961</v>
      </c>
      <c r="D77" s="30" t="n">
        <v>0.465489073591131</v>
      </c>
      <c r="E77" s="30" t="n">
        <v>-0.0389576289504696</v>
      </c>
      <c r="F77" s="30" t="n">
        <f aca="false">'Valuation Summary'!C8/Inputs!$C$5-1</f>
        <v>0.465489073591131</v>
      </c>
    </row>
    <row r="78" customFormat="false" ht="15" hidden="false" customHeight="false" outlineLevel="0" collapsed="false">
      <c r="A78" s="43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1" min="2" style="0" width="11"/>
    <col collapsed="false" customWidth="true" hidden="false" outlineLevel="0" max="12" min="12" style="0" width="12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206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207</v>
      </c>
      <c r="B4" s="44" t="s">
        <v>208</v>
      </c>
      <c r="C4" s="44" t="s">
        <v>209</v>
      </c>
      <c r="D4" s="44" t="s">
        <v>210</v>
      </c>
      <c r="E4" s="44" t="s">
        <v>211</v>
      </c>
      <c r="F4" s="44" t="s">
        <v>212</v>
      </c>
      <c r="G4" s="44" t="s">
        <v>213</v>
      </c>
      <c r="H4" s="44" t="s">
        <v>214</v>
      </c>
      <c r="I4" s="44" t="s">
        <v>215</v>
      </c>
      <c r="J4" s="44" t="s">
        <v>216</v>
      </c>
      <c r="K4" s="44" t="s">
        <v>217</v>
      </c>
      <c r="L4" s="44" t="s">
        <v>218</v>
      </c>
    </row>
    <row r="5" customFormat="false" ht="15" hidden="false" customHeight="false" outlineLevel="0" collapsed="false">
      <c r="A5" s="4" t="s">
        <v>219</v>
      </c>
      <c r="B5" s="5"/>
      <c r="C5" s="5"/>
      <c r="D5" s="5"/>
      <c r="E5" s="5"/>
      <c r="F5" s="5"/>
      <c r="G5" s="5"/>
      <c r="H5" s="5"/>
      <c r="I5" s="5"/>
      <c r="J5" s="45"/>
      <c r="K5" s="45"/>
      <c r="L5" s="5"/>
      <c r="M5" s="5"/>
    </row>
    <row r="6" customFormat="false" ht="15" hidden="false" customHeight="false" outlineLevel="0" collapsed="false">
      <c r="A6" s="9" t="s">
        <v>220</v>
      </c>
      <c r="B6" s="28" t="n">
        <v>2380</v>
      </c>
      <c r="C6" s="28" t="n">
        <v>2632</v>
      </c>
      <c r="D6" s="26" t="n">
        <f aca="false">B6+C6</f>
        <v>5012</v>
      </c>
      <c r="E6" s="26" t="n">
        <f aca="false">F6-D6</f>
        <v>5089</v>
      </c>
      <c r="F6" s="27" t="n">
        <f aca="false">'Revenue Model'!E15</f>
        <v>10101</v>
      </c>
      <c r="G6" s="28" t="n">
        <v>2040</v>
      </c>
      <c r="H6" s="28" t="n">
        <v>2474</v>
      </c>
      <c r="I6" s="26" t="n">
        <f aca="false">G6+H6</f>
        <v>4514</v>
      </c>
      <c r="J6" s="46" t="n">
        <f aca="false">E6*(1+L6)</f>
        <v>4681.88</v>
      </c>
      <c r="K6" s="46" t="n">
        <f aca="false">I6+J6</f>
        <v>9195.88</v>
      </c>
      <c r="L6" s="29" t="n">
        <v>-0.08</v>
      </c>
      <c r="M6" s="19" t="s">
        <v>221</v>
      </c>
    </row>
    <row r="7" customFormat="false" ht="15" hidden="false" customHeight="false" outlineLevel="0" collapsed="false">
      <c r="A7" s="9" t="s">
        <v>222</v>
      </c>
      <c r="B7" s="28" t="n">
        <v>2843</v>
      </c>
      <c r="C7" s="28" t="n">
        <v>4379</v>
      </c>
      <c r="D7" s="26" t="n">
        <f aca="false">B7+C7</f>
        <v>7222</v>
      </c>
      <c r="E7" s="26" t="n">
        <f aca="false">F7-D7</f>
        <v>7580</v>
      </c>
      <c r="F7" s="27" t="n">
        <f aca="false">'Revenue Model'!E18</f>
        <v>14802</v>
      </c>
      <c r="G7" s="28" t="n">
        <v>2908</v>
      </c>
      <c r="H7" s="28" t="n">
        <v>3770</v>
      </c>
      <c r="I7" s="26" t="n">
        <f aca="false">G7+H7</f>
        <v>6678</v>
      </c>
      <c r="J7" s="46" t="n">
        <f aca="false">E7*(1+L7)</f>
        <v>6443</v>
      </c>
      <c r="K7" s="46" t="n">
        <f aca="false">I7+J7</f>
        <v>13121</v>
      </c>
      <c r="L7" s="29" t="n">
        <v>-0.15</v>
      </c>
      <c r="M7" s="19" t="s">
        <v>223</v>
      </c>
    </row>
    <row r="8" customFormat="false" ht="15" hidden="false" customHeight="false" outlineLevel="0" collapsed="false">
      <c r="A8" s="9" t="s">
        <v>224</v>
      </c>
      <c r="B8" s="28" t="n">
        <v>3729</v>
      </c>
      <c r="C8" s="28" t="n">
        <v>3977</v>
      </c>
      <c r="D8" s="26" t="n">
        <f aca="false">B8+C8</f>
        <v>7706</v>
      </c>
      <c r="E8" s="26" t="n">
        <f aca="false">F8-D8</f>
        <v>9238</v>
      </c>
      <c r="F8" s="27" t="n">
        <f aca="false">'Revenue Model'!E21</f>
        <v>16944</v>
      </c>
      <c r="G8" s="28" t="n">
        <v>4104</v>
      </c>
      <c r="H8" s="28" t="n">
        <v>4838</v>
      </c>
      <c r="I8" s="26" t="n">
        <f aca="false">G8+H8</f>
        <v>8942</v>
      </c>
      <c r="J8" s="46" t="n">
        <f aca="false">E8*(1+L8)</f>
        <v>10623.7</v>
      </c>
      <c r="K8" s="46" t="n">
        <f aca="false">I8+J8</f>
        <v>19565.7</v>
      </c>
      <c r="L8" s="29" t="n">
        <v>0.15</v>
      </c>
      <c r="M8" s="19" t="s">
        <v>225</v>
      </c>
    </row>
    <row r="9" customFormat="false" ht="15" hidden="false" customHeight="false" outlineLevel="0" collapsed="false">
      <c r="A9" s="6" t="s">
        <v>226</v>
      </c>
      <c r="B9" s="47" t="n">
        <f aca="false">B6+B7+B8</f>
        <v>8952</v>
      </c>
      <c r="C9" s="47" t="n">
        <f aca="false">C6+C7+C8</f>
        <v>10988</v>
      </c>
      <c r="D9" s="47" t="n">
        <f aca="false">D6+D7+D8</f>
        <v>19940</v>
      </c>
      <c r="E9" s="47" t="n">
        <f aca="false">E6+E7+E8</f>
        <v>21907</v>
      </c>
      <c r="F9" s="47" t="n">
        <f aca="false">F6+F7+F8</f>
        <v>41847</v>
      </c>
      <c r="G9" s="47" t="n">
        <f aca="false">G6+G7+G8</f>
        <v>9052</v>
      </c>
      <c r="H9" s="47" t="n">
        <f aca="false">H6+H7+H8</f>
        <v>11082</v>
      </c>
      <c r="I9" s="47" t="n">
        <f aca="false">I6+I7+I8</f>
        <v>20134</v>
      </c>
      <c r="J9" s="48" t="n">
        <f aca="false">J6+J7+J8</f>
        <v>21748.58</v>
      </c>
      <c r="K9" s="48" t="n">
        <f aca="false">K6+K7+K8</f>
        <v>41882.58</v>
      </c>
    </row>
    <row r="10" customFormat="false" ht="15" hidden="false" customHeight="false" outlineLevel="0" collapsed="false">
      <c r="A10" s="49" t="s">
        <v>227</v>
      </c>
      <c r="G10" s="50" t="n">
        <f aca="false">IFERROR(G6/B6-1,0)</f>
        <v>-0.142857142857143</v>
      </c>
      <c r="H10" s="50" t="n">
        <f aca="false">IFERROR(H6/C6-1,0)</f>
        <v>-0.0600303951367781</v>
      </c>
      <c r="I10" s="50" t="n">
        <f aca="false">IFERROR(I6/D6-1,0)</f>
        <v>-0.0993615323224262</v>
      </c>
      <c r="J10" s="51" t="n">
        <f aca="false">IFERROR(J6/E6-1,0)</f>
        <v>-0.08</v>
      </c>
      <c r="K10" s="51" t="n">
        <f aca="false">IFERROR(K6/F6-1,0)</f>
        <v>-0.0896069696069695</v>
      </c>
    </row>
    <row r="11" customFormat="false" ht="15" hidden="false" customHeight="false" outlineLevel="0" collapsed="false">
      <c r="A11" s="49" t="s">
        <v>228</v>
      </c>
      <c r="G11" s="50" t="n">
        <f aca="false">IFERROR(G7/B7-1,0)</f>
        <v>0.0228631727048891</v>
      </c>
      <c r="H11" s="50" t="n">
        <f aca="false">IFERROR(H7/C7-1,0)</f>
        <v>-0.139072847682119</v>
      </c>
      <c r="I11" s="50" t="n">
        <f aca="false">IFERROR(I7/D7-1,0)</f>
        <v>-0.075325394627527</v>
      </c>
      <c r="J11" s="51" t="n">
        <f aca="false">IFERROR(J7/E7-1,0)</f>
        <v>-0.15</v>
      </c>
      <c r="K11" s="51" t="n">
        <f aca="false">IFERROR(K7/F7-1,0)</f>
        <v>-0.113565734360222</v>
      </c>
    </row>
    <row r="12" customFormat="false" ht="15" hidden="false" customHeight="false" outlineLevel="0" collapsed="false">
      <c r="A12" s="49" t="s">
        <v>229</v>
      </c>
      <c r="G12" s="50" t="n">
        <f aca="false">IFERROR(G8/B8-1,0)</f>
        <v>0.100563153660499</v>
      </c>
      <c r="H12" s="50" t="n">
        <f aca="false">IFERROR(H8/C8-1,0)</f>
        <v>0.216494845360825</v>
      </c>
      <c r="I12" s="50" t="n">
        <f aca="false">IFERROR(I8/D8-1,0)</f>
        <v>0.160394497793927</v>
      </c>
      <c r="J12" s="51" t="n">
        <f aca="false">IFERROR(J8/E8-1,0)</f>
        <v>0.15</v>
      </c>
      <c r="K12" s="51" t="n">
        <f aca="false">IFERROR(K8/F8-1,0)</f>
        <v>0.154727337110481</v>
      </c>
    </row>
    <row r="13" customFormat="false" ht="15" hidden="false" customHeight="false" outlineLevel="0" collapsed="false">
      <c r="A13" s="49" t="s">
        <v>230</v>
      </c>
      <c r="G13" s="50" t="n">
        <f aca="false">IFERROR(G9/B9-1,0)</f>
        <v>0.0111706881143878</v>
      </c>
      <c r="H13" s="50" t="n">
        <f aca="false">IFERROR(H9/C9-1,0)</f>
        <v>0.00855478704040769</v>
      </c>
      <c r="I13" s="50" t="n">
        <f aca="false">IFERROR(I9/D9-1,0)</f>
        <v>0.00972918756268815</v>
      </c>
      <c r="J13" s="51" t="n">
        <f aca="false">IFERROR(J9/E9-1,0)</f>
        <v>-0.00723147852284645</v>
      </c>
      <c r="K13" s="51" t="n">
        <f aca="false">IFERROR(K9/F9-1,0)</f>
        <v>0.000850240160584992</v>
      </c>
    </row>
    <row r="14" customFormat="false" ht="15" hidden="false" customHeight="false" outlineLevel="0" collapsed="false">
      <c r="A14" s="4" t="s">
        <v>231</v>
      </c>
      <c r="B14" s="5"/>
      <c r="C14" s="5"/>
      <c r="D14" s="5"/>
      <c r="E14" s="5"/>
      <c r="F14" s="5"/>
      <c r="G14" s="5"/>
      <c r="H14" s="5"/>
      <c r="I14" s="5"/>
      <c r="J14" s="45"/>
      <c r="K14" s="45"/>
      <c r="L14" s="5"/>
      <c r="M14" s="5"/>
    </row>
    <row r="15" customFormat="false" ht="15" hidden="false" customHeight="false" outlineLevel="0" collapsed="false">
      <c r="A15" s="9" t="s">
        <v>232</v>
      </c>
      <c r="B15" s="28" t="n">
        <v>7765</v>
      </c>
      <c r="C15" s="28" t="n">
        <v>10013</v>
      </c>
      <c r="D15" s="26" t="n">
        <f aca="false">B15+C15</f>
        <v>17778</v>
      </c>
      <c r="E15" s="26" t="n">
        <f aca="false">F15-D15</f>
        <v>19329</v>
      </c>
      <c r="F15" s="27" t="n">
        <f aca="false">'Revenue Model'!E32</f>
        <v>37107</v>
      </c>
      <c r="G15" s="28" t="n">
        <v>7757</v>
      </c>
      <c r="H15" s="28" t="n">
        <v>9676</v>
      </c>
      <c r="I15" s="26" t="n">
        <f aca="false">G15+H15</f>
        <v>17433</v>
      </c>
      <c r="J15" s="46" t="n">
        <f aca="false">J9-J16</f>
        <v>18812.5217</v>
      </c>
      <c r="K15" s="46" t="n">
        <f aca="false">I15+J15</f>
        <v>36245.5217</v>
      </c>
    </row>
    <row r="16" customFormat="false" ht="15" hidden="false" customHeight="false" outlineLevel="0" collapsed="false">
      <c r="A16" s="9" t="s">
        <v>233</v>
      </c>
      <c r="B16" s="28" t="n">
        <v>1187</v>
      </c>
      <c r="C16" s="28" t="n">
        <v>975</v>
      </c>
      <c r="D16" s="26" t="n">
        <f aca="false">B16+C16</f>
        <v>2162</v>
      </c>
      <c r="E16" s="26" t="n">
        <f aca="false">F16-D16</f>
        <v>2578</v>
      </c>
      <c r="F16" s="27" t="n">
        <f aca="false">'Revenue Model'!E30</f>
        <v>4740</v>
      </c>
      <c r="G16" s="28" t="n">
        <v>1295</v>
      </c>
      <c r="H16" s="28" t="n">
        <v>1406</v>
      </c>
      <c r="I16" s="26" t="n">
        <f aca="false">G16+H16</f>
        <v>2701</v>
      </c>
      <c r="J16" s="46" t="n">
        <f aca="false">J9*L17</f>
        <v>2936.0583</v>
      </c>
      <c r="K16" s="46" t="n">
        <f aca="false">I16+J16</f>
        <v>5637.0583</v>
      </c>
    </row>
    <row r="17" customFormat="false" ht="15" hidden="false" customHeight="false" outlineLevel="0" collapsed="false">
      <c r="A17" s="43" t="s">
        <v>234</v>
      </c>
      <c r="B17" s="50" t="n">
        <f aca="false">IFERROR(B16/B9,0)</f>
        <v>0.132596067917784</v>
      </c>
      <c r="C17" s="50" t="n">
        <f aca="false">IFERROR(C16/C9,0)</f>
        <v>0.0887331634510375</v>
      </c>
      <c r="D17" s="50" t="n">
        <f aca="false">IFERROR(D16/D9,0)</f>
        <v>0.108425275827482</v>
      </c>
      <c r="E17" s="50" t="n">
        <f aca="false">IFERROR(E16/E9,0)</f>
        <v>0.117679280595244</v>
      </c>
      <c r="F17" s="50" t="n">
        <f aca="false">IFERROR(F16/F9,0)</f>
        <v>0.113269768442182</v>
      </c>
      <c r="G17" s="50" t="n">
        <f aca="false">IFERROR(G16/G9,0)</f>
        <v>0.143062306672559</v>
      </c>
      <c r="H17" s="50" t="n">
        <f aca="false">IFERROR(H16/H9,0)</f>
        <v>0.126872405702942</v>
      </c>
      <c r="I17" s="50" t="n">
        <f aca="false">IFERROR(I16/I9,0)</f>
        <v>0.134151187046787</v>
      </c>
      <c r="J17" s="51" t="n">
        <f aca="false">IFERROR(J16/J9,0)</f>
        <v>0.135</v>
      </c>
      <c r="K17" s="51" t="n">
        <f aca="false">IFERROR(K16/K9,0)</f>
        <v>0.134591954459348</v>
      </c>
      <c r="L17" s="52" t="n">
        <v>0.135</v>
      </c>
    </row>
    <row r="18" customFormat="false" ht="15" hidden="false" customHeight="false" outlineLevel="0" collapsed="false">
      <c r="A18" s="49" t="s">
        <v>235</v>
      </c>
      <c r="G18" s="50" t="n">
        <f aca="false">IFERROR(G15/B15-1,0)</f>
        <v>-0.00103026400515127</v>
      </c>
      <c r="H18" s="50" t="n">
        <f aca="false">IFERROR(H15/C15-1,0)</f>
        <v>-0.0336562468790572</v>
      </c>
      <c r="I18" s="50" t="n">
        <f aca="false">IFERROR(I15/D15-1,0)</f>
        <v>-0.0194060074249072</v>
      </c>
      <c r="J18" s="51" t="n">
        <f aca="false">IFERROR(J15/E15-1,0)</f>
        <v>-0.0267203838791452</v>
      </c>
      <c r="K18" s="51" t="n">
        <f aca="false">IFERROR(K15/F15-1,0)</f>
        <v>-0.0232160589646159</v>
      </c>
    </row>
    <row r="19" customFormat="false" ht="15" hidden="false" customHeight="false" outlineLevel="0" collapsed="false">
      <c r="A19" s="49" t="s">
        <v>236</v>
      </c>
      <c r="G19" s="50" t="n">
        <f aca="false">IFERROR(G16/B16-1,0)</f>
        <v>0.0909856781802865</v>
      </c>
      <c r="H19" s="50" t="n">
        <f aca="false">IFERROR(H16/C16-1,0)</f>
        <v>0.442051282051282</v>
      </c>
      <c r="I19" s="50" t="n">
        <f aca="false">IFERROR(I16/D16-1,0)</f>
        <v>0.249306197964847</v>
      </c>
      <c r="J19" s="51" t="n">
        <f aca="false">IFERROR(J16/E16-1,0)</f>
        <v>0.138889953452289</v>
      </c>
      <c r="K19" s="51" t="n">
        <f aca="false">IFERROR(K16/F16-1,0)</f>
        <v>0.189252805907173</v>
      </c>
    </row>
    <row r="20" customFormat="false" ht="15" hidden="false" customHeight="false" outlineLevel="0" collapsed="false">
      <c r="A20" s="4" t="s">
        <v>237</v>
      </c>
      <c r="B20" s="5"/>
      <c r="C20" s="5"/>
      <c r="D20" s="5"/>
      <c r="E20" s="5"/>
      <c r="F20" s="5"/>
      <c r="G20" s="5"/>
      <c r="H20" s="5"/>
      <c r="I20" s="5"/>
      <c r="J20" s="45"/>
      <c r="K20" s="45"/>
      <c r="L20" s="5"/>
      <c r="M20" s="5"/>
    </row>
    <row r="21" customFormat="false" ht="15" hidden="false" customHeight="false" outlineLevel="0" collapsed="false">
      <c r="A21" s="9" t="s">
        <v>238</v>
      </c>
      <c r="B21" s="28" t="n">
        <v>240</v>
      </c>
      <c r="C21" s="28" t="n">
        <v>277</v>
      </c>
      <c r="D21" s="26" t="n">
        <f aca="false">B21+C21</f>
        <v>517</v>
      </c>
      <c r="E21" s="26" t="n">
        <f aca="false">F21-D21</f>
        <v>561</v>
      </c>
      <c r="F21" s="27" t="n">
        <f aca="false">'Revenue Model'!E9</f>
        <v>1078</v>
      </c>
      <c r="G21" s="28" t="n">
        <v>251</v>
      </c>
      <c r="H21" s="28" t="n">
        <v>298</v>
      </c>
      <c r="I21" s="26" t="n">
        <f aca="false">G21+H21</f>
        <v>549</v>
      </c>
      <c r="J21" s="46" t="n">
        <f aca="false">E21*(1+L22)</f>
        <v>594.66</v>
      </c>
      <c r="K21" s="46" t="n">
        <f aca="false">I21+J21</f>
        <v>1143.66</v>
      </c>
    </row>
    <row r="22" customFormat="false" ht="15" hidden="false" customHeight="false" outlineLevel="0" collapsed="false">
      <c r="A22" s="49" t="s">
        <v>239</v>
      </c>
      <c r="G22" s="50" t="n">
        <f aca="false">IFERROR(G21/B21-1,0)</f>
        <v>0.0458333333333334</v>
      </c>
      <c r="H22" s="50" t="n">
        <f aca="false">IFERROR(H21/C21-1,0)</f>
        <v>0.075812274368231</v>
      </c>
      <c r="I22" s="50" t="n">
        <f aca="false">IFERROR(I21/D21-1,0)</f>
        <v>0.0618955512572534</v>
      </c>
      <c r="J22" s="51" t="n">
        <f aca="false">IFERROR(J21/E21-1,0)</f>
        <v>0.0600000000000001</v>
      </c>
      <c r="K22" s="51" t="n">
        <f aca="false">IFERROR(K21/F21-1,0)</f>
        <v>0.060909090909091</v>
      </c>
      <c r="L22" s="52" t="n">
        <v>0.06</v>
      </c>
      <c r="M22" s="19" t="s">
        <v>240</v>
      </c>
    </row>
    <row r="23" customFormat="false" ht="15" hidden="false" customHeight="false" outlineLevel="0" collapsed="false">
      <c r="A23" s="43" t="s">
        <v>241</v>
      </c>
      <c r="B23" s="53" t="n">
        <f aca="false">IFERROR(B9/B21,0)</f>
        <v>37.3</v>
      </c>
      <c r="C23" s="53" t="n">
        <f aca="false">IFERROR(C9/C21,0)</f>
        <v>39.6678700361011</v>
      </c>
      <c r="D23" s="53" t="n">
        <f aca="false">IFERROR(D9/D21,0)</f>
        <v>38.568665377176</v>
      </c>
      <c r="E23" s="53" t="n">
        <f aca="false">IFERROR(E9/E21,0)</f>
        <v>39.0499108734403</v>
      </c>
      <c r="F23" s="53" t="n">
        <f aca="false">IFERROR(F9/F21,0)</f>
        <v>38.8191094619666</v>
      </c>
      <c r="G23" s="53" t="n">
        <f aca="false">IFERROR(G9/G21,0)</f>
        <v>36.0637450199203</v>
      </c>
      <c r="H23" s="53" t="n">
        <f aca="false">IFERROR(H9/H21,0)</f>
        <v>37.1879194630873</v>
      </c>
      <c r="I23" s="53" t="n">
        <f aca="false">IFERROR(I9/I21,0)</f>
        <v>36.6739526411658</v>
      </c>
      <c r="J23" s="54" t="n">
        <f aca="false">IFERROR(J9/J21,0)</f>
        <v>36.5731342279622</v>
      </c>
      <c r="K23" s="54" t="n">
        <f aca="false">IFERROR(K9/K21,0)</f>
        <v>36.6215308745606</v>
      </c>
    </row>
    <row r="24" customFormat="false" ht="15" hidden="false" customHeight="false" outlineLevel="0" collapsed="false">
      <c r="A24" s="9" t="s">
        <v>242</v>
      </c>
      <c r="B24" s="28" t="n">
        <v>241</v>
      </c>
      <c r="C24" s="28" t="n">
        <v>254</v>
      </c>
      <c r="F24" s="28" t="n">
        <v>273</v>
      </c>
      <c r="G24" s="28" t="n">
        <v>281</v>
      </c>
      <c r="H24" s="28" t="n">
        <v>291</v>
      </c>
      <c r="I24" s="28" t="n">
        <v>291</v>
      </c>
      <c r="J24" s="45"/>
      <c r="K24" s="45"/>
    </row>
    <row r="25" customFormat="false" ht="15" hidden="false" customHeight="false" outlineLevel="0" collapsed="false">
      <c r="A25" s="4" t="s">
        <v>243</v>
      </c>
      <c r="B25" s="5"/>
      <c r="C25" s="5"/>
      <c r="D25" s="5"/>
      <c r="E25" s="5"/>
      <c r="F25" s="5"/>
      <c r="G25" s="5"/>
      <c r="H25" s="5"/>
      <c r="I25" s="5"/>
      <c r="J25" s="45"/>
      <c r="K25" s="45"/>
      <c r="L25" s="5"/>
      <c r="M25" s="5"/>
    </row>
    <row r="26" customFormat="false" ht="15" hidden="false" customHeight="false" outlineLevel="0" collapsed="false">
      <c r="A26" s="9" t="s">
        <v>244</v>
      </c>
      <c r="B26" s="28" t="n">
        <v>3339</v>
      </c>
      <c r="C26" s="28" t="n">
        <v>3628</v>
      </c>
      <c r="D26" s="26" t="n">
        <f aca="false">B26+C26</f>
        <v>6967</v>
      </c>
      <c r="E26" s="26" t="n">
        <f aca="false">F26-D26</f>
        <v>6466</v>
      </c>
      <c r="F26" s="27" t="n">
        <f aca="false">'Income Statement'!E11</f>
        <v>13433</v>
      </c>
      <c r="G26" s="28" t="n">
        <v>2679</v>
      </c>
      <c r="H26" s="28" t="n">
        <v>3347</v>
      </c>
      <c r="I26" s="26" t="n">
        <f aca="false">G26+H26</f>
        <v>6026</v>
      </c>
      <c r="J26" s="46" t="n">
        <f aca="false">J15*L27</f>
        <v>6396.257378</v>
      </c>
      <c r="K26" s="46" t="n">
        <f aca="false">I26+J26</f>
        <v>12422.257378</v>
      </c>
    </row>
    <row r="27" customFormat="false" ht="15" hidden="false" customHeight="false" outlineLevel="0" collapsed="false">
      <c r="A27" s="43" t="s">
        <v>245</v>
      </c>
      <c r="B27" s="50" t="n">
        <f aca="false">IFERROR(B26/B15,0)</f>
        <v>0.430006439150032</v>
      </c>
      <c r="C27" s="50" t="n">
        <f aca="false">IFERROR(C26/C15,0)</f>
        <v>0.362328972335963</v>
      </c>
      <c r="D27" s="50" t="n">
        <f aca="false">IFERROR(D26/D15,0)</f>
        <v>0.391888851389358</v>
      </c>
      <c r="E27" s="50" t="n">
        <f aca="false">IFERROR(E26/E15,0)</f>
        <v>0.334523255212375</v>
      </c>
      <c r="F27" s="50" t="n">
        <f aca="false">IFERROR(F26/F15,0)</f>
        <v>0.362007168458781</v>
      </c>
      <c r="G27" s="50" t="n">
        <f aca="false">IFERROR(G26/G15,0)</f>
        <v>0.345365476343947</v>
      </c>
      <c r="H27" s="50" t="n">
        <f aca="false">IFERROR(H26/H15,0)</f>
        <v>0.345907399751964</v>
      </c>
      <c r="I27" s="50" t="n">
        <f aca="false">IFERROR(I26/I15,0)</f>
        <v>0.345666265129352</v>
      </c>
      <c r="J27" s="51" t="n">
        <f aca="false">IFERROR(J26/J15,0)</f>
        <v>0.34</v>
      </c>
      <c r="K27" s="51" t="n">
        <f aca="false">IFERROR(K26/K15,0)</f>
        <v>0.342725302199196</v>
      </c>
      <c r="L27" s="52" t="n">
        <v>0.34</v>
      </c>
    </row>
    <row r="28" customFormat="false" ht="15" hidden="false" customHeight="false" outlineLevel="0" collapsed="false">
      <c r="A28" s="9" t="s">
        <v>246</v>
      </c>
      <c r="B28" s="55" t="n">
        <f aca="false">B9-B26</f>
        <v>5613</v>
      </c>
      <c r="C28" s="55" t="n">
        <f aca="false">C9-C26</f>
        <v>7360</v>
      </c>
      <c r="D28" s="55" t="n">
        <f aca="false">D9-D26</f>
        <v>12973</v>
      </c>
      <c r="E28" s="55" t="n">
        <f aca="false">E9-E26</f>
        <v>15441</v>
      </c>
      <c r="F28" s="55" t="n">
        <f aca="false">F9-F26</f>
        <v>28414</v>
      </c>
      <c r="G28" s="55" t="n">
        <f aca="false">G9-G26</f>
        <v>6373</v>
      </c>
      <c r="H28" s="55" t="n">
        <f aca="false">H9-H26</f>
        <v>7735</v>
      </c>
      <c r="I28" s="55" t="n">
        <f aca="false">I9-I26</f>
        <v>14108</v>
      </c>
      <c r="J28" s="56" t="n">
        <f aca="false">J9-J26</f>
        <v>15352.322622</v>
      </c>
      <c r="K28" s="56" t="n">
        <f aca="false">K9-K26</f>
        <v>29460.322622</v>
      </c>
    </row>
    <row r="29" customFormat="false" ht="15" hidden="false" customHeight="false" outlineLevel="0" collapsed="false">
      <c r="A29" s="43" t="s">
        <v>247</v>
      </c>
      <c r="B29" s="50" t="n">
        <f aca="false">IFERROR(B28/B9,0)</f>
        <v>0.62701072386059</v>
      </c>
      <c r="C29" s="50" t="n">
        <f aca="false">IFERROR(C28/C9,0)</f>
        <v>0.66982162358937</v>
      </c>
      <c r="D29" s="50" t="n">
        <f aca="false">IFERROR(D28/D9,0)</f>
        <v>0.650601805416249</v>
      </c>
      <c r="E29" s="50" t="n">
        <f aca="false">IFERROR(E28/E9,0)</f>
        <v>0.704843200803396</v>
      </c>
      <c r="F29" s="50" t="n">
        <f aca="false">IFERROR(F28/F9,0)</f>
        <v>0.678997299686955</v>
      </c>
      <c r="G29" s="50" t="n">
        <f aca="false">IFERROR(G28/G9,0)</f>
        <v>0.704043305346885</v>
      </c>
      <c r="H29" s="50" t="n">
        <f aca="false">IFERROR(H28/H9,0)</f>
        <v>0.697978704205017</v>
      </c>
      <c r="I29" s="50" t="n">
        <f aca="false">IFERROR(I28/I9,0)</f>
        <v>0.70070527465978</v>
      </c>
      <c r="J29" s="51" t="n">
        <f aca="false">IFERROR(J28/J9,0)</f>
        <v>0.7059</v>
      </c>
      <c r="K29" s="51" t="n">
        <f aca="false">IFERROR(K28/K9,0)</f>
        <v>0.703402766066465</v>
      </c>
    </row>
    <row r="30" customFormat="false" ht="15" hidden="false" customHeight="false" outlineLevel="0" collapsed="false">
      <c r="A30" s="9" t="s">
        <v>248</v>
      </c>
      <c r="B30" s="28" t="n">
        <v>3831</v>
      </c>
      <c r="C30" s="28" t="n">
        <v>4730</v>
      </c>
      <c r="D30" s="26" t="n">
        <f aca="false">B30+C30</f>
        <v>8561</v>
      </c>
      <c r="E30" s="26" t="n">
        <f aca="false">F30-D30</f>
        <v>10511</v>
      </c>
      <c r="F30" s="27" t="n">
        <f aca="false">'Income Statement'!E16</f>
        <v>19072</v>
      </c>
      <c r="G30" s="28" t="n">
        <v>4322</v>
      </c>
      <c r="H30" s="28" t="n">
        <v>5587</v>
      </c>
      <c r="I30" s="26" t="n">
        <f aca="false">G30+H30</f>
        <v>9909</v>
      </c>
      <c r="J30" s="46" t="n">
        <f aca="false">J9*L31</f>
        <v>11091.7758</v>
      </c>
      <c r="K30" s="46" t="n">
        <f aca="false">I30+J30</f>
        <v>21000.7758</v>
      </c>
    </row>
    <row r="31" customFormat="false" ht="15" hidden="false" customHeight="false" outlineLevel="0" collapsed="false">
      <c r="A31" s="43" t="s">
        <v>249</v>
      </c>
      <c r="B31" s="50" t="n">
        <f aca="false">IFERROR(B30/B9,0)</f>
        <v>0.427949061662198</v>
      </c>
      <c r="C31" s="50" t="n">
        <f aca="false">IFERROR(C30/C9,0)</f>
        <v>0.430469603203495</v>
      </c>
      <c r="D31" s="50" t="n">
        <f aca="false">IFERROR(D30/D9,0)</f>
        <v>0.429338014042126</v>
      </c>
      <c r="E31" s="50" t="n">
        <f aca="false">IFERROR(E30/E9,0)</f>
        <v>0.479800976856712</v>
      </c>
      <c r="F31" s="50" t="n">
        <f aca="false">IFERROR(F30/F9,0)</f>
        <v>0.455755490238249</v>
      </c>
      <c r="G31" s="50" t="n">
        <f aca="false">IFERROR(G30/G9,0)</f>
        <v>0.477463543968184</v>
      </c>
      <c r="H31" s="50" t="n">
        <f aca="false">IFERROR(H30/H9,0)</f>
        <v>0.504150875293268</v>
      </c>
      <c r="I31" s="50" t="n">
        <f aca="false">IFERROR(I30/I9,0)</f>
        <v>0.492152577729214</v>
      </c>
      <c r="J31" s="51" t="n">
        <f aca="false">IFERROR(J30/J9,0)</f>
        <v>0.51</v>
      </c>
      <c r="K31" s="51" t="n">
        <f aca="false">IFERROR(K30/K9,0)</f>
        <v>0.501420299322535</v>
      </c>
      <c r="L31" s="52" t="n">
        <v>0.51</v>
      </c>
    </row>
    <row r="32" customFormat="false" ht="15" hidden="false" customHeight="false" outlineLevel="0" collapsed="false">
      <c r="A32" s="43" t="s">
        <v>250</v>
      </c>
      <c r="B32" s="53" t="n">
        <f aca="false">IFERROR(B30/B21,0)</f>
        <v>15.9625</v>
      </c>
      <c r="C32" s="53" t="n">
        <f aca="false">IFERROR(C30/C21,0)</f>
        <v>17.0758122743682</v>
      </c>
      <c r="D32" s="53" t="n">
        <f aca="false">IFERROR(D30/D21,0)</f>
        <v>16.5589941972921</v>
      </c>
      <c r="E32" s="53" t="n">
        <f aca="false">IFERROR(E30/E21,0)</f>
        <v>18.7361853832442</v>
      </c>
      <c r="F32" s="53" t="n">
        <f aca="false">IFERROR(F30/F21,0)</f>
        <v>17.6920222634508</v>
      </c>
      <c r="G32" s="53" t="n">
        <f aca="false">IFERROR(G30/G21,0)</f>
        <v>17.2191235059761</v>
      </c>
      <c r="H32" s="53" t="n">
        <f aca="false">IFERROR(H30/H21,0)</f>
        <v>18.748322147651</v>
      </c>
      <c r="I32" s="53" t="n">
        <f aca="false">IFERROR(I30/I21,0)</f>
        <v>18.0491803278689</v>
      </c>
      <c r="J32" s="54" t="n">
        <f aca="false">IFERROR(J30/J21,0)</f>
        <v>18.6522984562607</v>
      </c>
      <c r="K32" s="54" t="n">
        <f aca="false">IFERROR(K30/K21,0)</f>
        <v>18.3627789727716</v>
      </c>
    </row>
    <row r="33" customFormat="false" ht="15" hidden="false" customHeight="false" outlineLevel="0" collapsed="false">
      <c r="A33" s="9" t="s">
        <v>251</v>
      </c>
      <c r="B33" s="28" t="n">
        <v>1088</v>
      </c>
      <c r="C33" s="28" t="n">
        <v>1576</v>
      </c>
      <c r="D33" s="26" t="n">
        <f aca="false">B33+C33</f>
        <v>2664</v>
      </c>
      <c r="E33" s="26" t="n">
        <f aca="false">F33-D33</f>
        <v>3527</v>
      </c>
      <c r="F33" s="27" t="n">
        <f aca="false">'Income Statement'!E21</f>
        <v>6191</v>
      </c>
      <c r="G33" s="28" t="n">
        <v>1430</v>
      </c>
      <c r="H33" s="28" t="n">
        <v>1511</v>
      </c>
      <c r="I33" s="26" t="n">
        <f aca="false">G33+H33</f>
        <v>2941</v>
      </c>
      <c r="J33" s="46" t="n">
        <f aca="false">J9*L34</f>
        <v>2936.0583</v>
      </c>
      <c r="K33" s="46" t="n">
        <f aca="false">I33+J33</f>
        <v>5877.0583</v>
      </c>
    </row>
    <row r="34" customFormat="false" ht="15" hidden="false" customHeight="false" outlineLevel="0" collapsed="false">
      <c r="A34" s="43" t="s">
        <v>249</v>
      </c>
      <c r="B34" s="50" t="n">
        <f aca="false">IFERROR(B33/B9,0)</f>
        <v>0.12153708668454</v>
      </c>
      <c r="C34" s="50" t="n">
        <f aca="false">IFERROR(C33/C9,0)</f>
        <v>0.143429195485985</v>
      </c>
      <c r="D34" s="50" t="n">
        <f aca="false">IFERROR(D33/D9,0)</f>
        <v>0.133600802407222</v>
      </c>
      <c r="E34" s="50" t="n">
        <f aca="false">IFERROR(E33/E9,0)</f>
        <v>0.160998767517232</v>
      </c>
      <c r="F34" s="50" t="n">
        <f aca="false">IFERROR(F33/F9,0)</f>
        <v>0.147943699667838</v>
      </c>
      <c r="G34" s="50" t="n">
        <f aca="false">IFERROR(G33/G9,0)</f>
        <v>0.157976137870084</v>
      </c>
      <c r="H34" s="50" t="n">
        <f aca="false">IFERROR(H33/H9,0)</f>
        <v>0.136347229741924</v>
      </c>
      <c r="I34" s="50" t="n">
        <f aca="false">IFERROR(I33/I9,0)</f>
        <v>0.146071322141651</v>
      </c>
      <c r="J34" s="51" t="n">
        <f aca="false">IFERROR(J33/J9,0)</f>
        <v>0.135</v>
      </c>
      <c r="K34" s="51" t="n">
        <f aca="false">IFERROR(K33/K9,0)</f>
        <v>0.140322260472015</v>
      </c>
      <c r="L34" s="52" t="n">
        <v>0.135</v>
      </c>
    </row>
    <row r="35" customFormat="false" ht="15" hidden="false" customHeight="false" outlineLevel="0" collapsed="false">
      <c r="A35" s="9" t="s">
        <v>252</v>
      </c>
      <c r="B35" s="28" t="n">
        <v>220</v>
      </c>
      <c r="C35" s="28" t="n">
        <v>221</v>
      </c>
      <c r="D35" s="26" t="n">
        <f aca="false">B35+C35</f>
        <v>441</v>
      </c>
      <c r="E35" s="26" t="n">
        <f aca="false">F35-D35</f>
        <v>455</v>
      </c>
      <c r="F35" s="27" t="n">
        <f aca="false">'Income Statement'!E23</f>
        <v>896</v>
      </c>
      <c r="G35" s="28" t="n">
        <v>241</v>
      </c>
      <c r="H35" s="28" t="n">
        <v>258</v>
      </c>
      <c r="I35" s="26" t="n">
        <f aca="false">G35+H35</f>
        <v>499</v>
      </c>
      <c r="J35" s="46" t="n">
        <f aca="false">J9*L36</f>
        <v>500.21734</v>
      </c>
      <c r="K35" s="46" t="n">
        <f aca="false">I35+J35</f>
        <v>999.21734</v>
      </c>
    </row>
    <row r="36" customFormat="false" ht="15" hidden="false" customHeight="false" outlineLevel="0" collapsed="false">
      <c r="A36" s="43" t="s">
        <v>249</v>
      </c>
      <c r="B36" s="50" t="n">
        <f aca="false">IFERROR(B35/B9,0)</f>
        <v>0.0245755138516533</v>
      </c>
      <c r="C36" s="50" t="n">
        <f aca="false">IFERROR(C35/C9,0)</f>
        <v>0.0201128503822352</v>
      </c>
      <c r="D36" s="50" t="n">
        <f aca="false">IFERROR(D35/D9,0)</f>
        <v>0.0221163490471414</v>
      </c>
      <c r="E36" s="50" t="n">
        <f aca="false">IFERROR(E35/E9,0)</f>
        <v>0.0207696170173917</v>
      </c>
      <c r="F36" s="50" t="n">
        <f aca="false">IFERROR(F35/F9,0)</f>
        <v>0.0214113317561593</v>
      </c>
      <c r="G36" s="50" t="n">
        <f aca="false">IFERROR(G35/G9,0)</f>
        <v>0.026623950508175</v>
      </c>
      <c r="H36" s="50" t="n">
        <f aca="false">IFERROR(H35/H9,0)</f>
        <v>0.0232809962100704</v>
      </c>
      <c r="I36" s="50" t="n">
        <f aca="false">IFERROR(I35/I9,0)</f>
        <v>0.0247839475514056</v>
      </c>
      <c r="J36" s="51" t="n">
        <f aca="false">IFERROR(J35/J9,0)</f>
        <v>0.023</v>
      </c>
      <c r="K36" s="51" t="n">
        <f aca="false">IFERROR(K35/K9,0)</f>
        <v>0.0238575880473457</v>
      </c>
      <c r="L36" s="52" t="n">
        <v>0.023</v>
      </c>
    </row>
    <row r="37" customFormat="false" ht="15" hidden="false" customHeight="false" outlineLevel="0" collapsed="false">
      <c r="A37" s="9" t="s">
        <v>253</v>
      </c>
      <c r="B37" s="28" t="n">
        <v>126</v>
      </c>
      <c r="C37" s="28" t="n">
        <v>135</v>
      </c>
      <c r="D37" s="26" t="n">
        <f aca="false">B37+C37</f>
        <v>261</v>
      </c>
      <c r="E37" s="26" t="n">
        <f aca="false">F37-D37</f>
        <v>287</v>
      </c>
      <c r="F37" s="27" t="n">
        <f aca="false">'Income Statement'!E25</f>
        <v>548</v>
      </c>
      <c r="G37" s="28" t="n">
        <v>122</v>
      </c>
      <c r="H37" s="28" t="n">
        <v>144</v>
      </c>
      <c r="I37" s="26" t="n">
        <f aca="false">G37+H37</f>
        <v>266</v>
      </c>
      <c r="J37" s="46" t="n">
        <f aca="false">J9*L38</f>
        <v>282.73154</v>
      </c>
      <c r="K37" s="46" t="n">
        <f aca="false">I37+J37</f>
        <v>548.73154</v>
      </c>
    </row>
    <row r="38" customFormat="false" ht="15" hidden="false" customHeight="false" outlineLevel="0" collapsed="false">
      <c r="A38" s="43" t="s">
        <v>249</v>
      </c>
      <c r="B38" s="50" t="n">
        <f aca="false">IFERROR(B37/B9,0)</f>
        <v>0.0140750670241287</v>
      </c>
      <c r="C38" s="50" t="n">
        <f aca="false">IFERROR(C37/C9,0)</f>
        <v>0.0122861303239898</v>
      </c>
      <c r="D38" s="50" t="n">
        <f aca="false">IFERROR(D37/D9,0)</f>
        <v>0.0130892678034102</v>
      </c>
      <c r="E38" s="50" t="n">
        <f aca="false">IFERROR(E37/E9,0)</f>
        <v>0.0131008353494317</v>
      </c>
      <c r="F38" s="50" t="n">
        <f aca="false">IFERROR(F37/F9,0)</f>
        <v>0.013095323440151</v>
      </c>
      <c r="G38" s="50" t="n">
        <f aca="false">IFERROR(G37/G9,0)</f>
        <v>0.0134776844896156</v>
      </c>
      <c r="H38" s="50" t="n">
        <f aca="false">IFERROR(H37/H9,0)</f>
        <v>0.0129940443963184</v>
      </c>
      <c r="I38" s="50" t="n">
        <f aca="false">IFERROR(I37/I9,0)</f>
        <v>0.0132114830634747</v>
      </c>
      <c r="J38" s="51" t="n">
        <f aca="false">IFERROR(J37/J9,0)</f>
        <v>0.013</v>
      </c>
      <c r="K38" s="51" t="n">
        <f aca="false">IFERROR(K37/K9,0)</f>
        <v>0.0131016651791747</v>
      </c>
      <c r="L38" s="52" t="n">
        <v>0.013</v>
      </c>
    </row>
    <row r="39" customFormat="false" ht="15" hidden="false" customHeight="false" outlineLevel="0" collapsed="false">
      <c r="A39" s="6" t="s">
        <v>254</v>
      </c>
      <c r="B39" s="47" t="n">
        <f aca="false">B28-B30-B33-B35-B37</f>
        <v>348</v>
      </c>
      <c r="C39" s="47" t="n">
        <f aca="false">C28-C30-C33-C35-C37</f>
        <v>698</v>
      </c>
      <c r="D39" s="47" t="n">
        <f aca="false">D28-D30-D33-D35-D37</f>
        <v>1046</v>
      </c>
      <c r="E39" s="47" t="n">
        <f aca="false">E28-E30-E33-E35-E37</f>
        <v>661</v>
      </c>
      <c r="F39" s="47" t="n">
        <f aca="false">F28-F30-F33-F35-F37</f>
        <v>1707</v>
      </c>
      <c r="G39" s="47" t="n">
        <f aca="false">G28-G30-G33-G35-G37</f>
        <v>258</v>
      </c>
      <c r="H39" s="47" t="n">
        <f aca="false">H28-H30-H33-H35-H37</f>
        <v>235</v>
      </c>
      <c r="I39" s="47" t="n">
        <f aca="false">I28-I30-I33-I35-I37</f>
        <v>493</v>
      </c>
      <c r="J39" s="48" t="n">
        <f aca="false">J28-J30-J33-J35-J37</f>
        <v>541.539641999998</v>
      </c>
      <c r="K39" s="48" t="n">
        <f aca="false">K28-K30-K33-K35-K37</f>
        <v>1034.539642</v>
      </c>
    </row>
    <row r="40" customFormat="false" ht="15" hidden="false" customHeight="false" outlineLevel="0" collapsed="false">
      <c r="A40" s="43" t="s">
        <v>255</v>
      </c>
      <c r="B40" s="50" t="n">
        <f aca="false">IFERROR(B39/B9,0)</f>
        <v>0.0388739946380697</v>
      </c>
      <c r="C40" s="50" t="n">
        <f aca="false">IFERROR(C39/C9,0)</f>
        <v>0.0635238441936658</v>
      </c>
      <c r="D40" s="50" t="n">
        <f aca="false">IFERROR(D39/D9,0)</f>
        <v>0.0524573721163491</v>
      </c>
      <c r="E40" s="50" t="n">
        <f aca="false">IFERROR(E39/E9,0)</f>
        <v>0.0301730040626284</v>
      </c>
      <c r="F40" s="50" t="n">
        <f aca="false">IFERROR(F39/F9,0)</f>
        <v>0.040791454584558</v>
      </c>
      <c r="G40" s="50" t="n">
        <f aca="false">IFERROR(G39/G9,0)</f>
        <v>0.0285019885108263</v>
      </c>
      <c r="H40" s="50" t="n">
        <f aca="false">IFERROR(H39/H9,0)</f>
        <v>0.0212055585634362</v>
      </c>
      <c r="I40" s="50" t="n">
        <f aca="false">IFERROR(I39/I9,0)</f>
        <v>0.024485944174034</v>
      </c>
      <c r="J40" s="51" t="n">
        <f aca="false">IFERROR(J39/J9,0)</f>
        <v>0.0248999999999999</v>
      </c>
      <c r="K40" s="51" t="n">
        <f aca="false">IFERROR(K39/K9,0)</f>
        <v>0.0247009530453949</v>
      </c>
    </row>
    <row r="41" customFormat="false" ht="15" hidden="false" customHeight="false" outlineLevel="0" collapsed="false">
      <c r="A41" s="9" t="s">
        <v>256</v>
      </c>
      <c r="B41" s="28" t="n">
        <v>22</v>
      </c>
      <c r="C41" s="28" t="n">
        <v>17</v>
      </c>
      <c r="D41" s="26" t="n">
        <f aca="false">B41+C41</f>
        <v>39</v>
      </c>
      <c r="E41" s="26" t="n">
        <f aca="false">F41-D41</f>
        <v>46</v>
      </c>
      <c r="F41" s="27" t="n">
        <f aca="false">'Income Statement'!E32</f>
        <v>85</v>
      </c>
      <c r="G41" s="28" t="n">
        <v>26</v>
      </c>
      <c r="H41" s="28" t="n">
        <v>19</v>
      </c>
      <c r="I41" s="26" t="n">
        <f aca="false">G41+H41</f>
        <v>45</v>
      </c>
      <c r="J41" s="46" t="n">
        <f aca="false">L41</f>
        <v>45</v>
      </c>
      <c r="K41" s="46" t="n">
        <f aca="false">I41+J41</f>
        <v>90</v>
      </c>
      <c r="L41" s="29" t="n">
        <v>45</v>
      </c>
    </row>
    <row r="42" customFormat="false" ht="15" hidden="false" customHeight="false" outlineLevel="0" collapsed="false">
      <c r="A42" s="6" t="s">
        <v>257</v>
      </c>
      <c r="B42" s="57" t="n">
        <f aca="false">B39+B41</f>
        <v>370</v>
      </c>
      <c r="C42" s="57" t="n">
        <f aca="false">C39+C41</f>
        <v>715</v>
      </c>
      <c r="D42" s="57" t="n">
        <f aca="false">D39+D41</f>
        <v>1085</v>
      </c>
      <c r="E42" s="57" t="n">
        <f aca="false">E39+E41</f>
        <v>707</v>
      </c>
      <c r="F42" s="57" t="n">
        <f aca="false">F39+F41</f>
        <v>1792</v>
      </c>
      <c r="G42" s="57" t="n">
        <f aca="false">G39+G41</f>
        <v>284</v>
      </c>
      <c r="H42" s="57" t="n">
        <f aca="false">H39+H41</f>
        <v>254</v>
      </c>
      <c r="I42" s="57" t="n">
        <f aca="false">I39+I41</f>
        <v>538</v>
      </c>
      <c r="J42" s="58" t="n">
        <f aca="false">J39+J41</f>
        <v>586.539641999998</v>
      </c>
      <c r="K42" s="58" t="n">
        <f aca="false">K39+K41</f>
        <v>1124.539642</v>
      </c>
    </row>
    <row r="43" customFormat="false" ht="15" hidden="false" customHeight="false" outlineLevel="0" collapsed="false">
      <c r="A43" s="43" t="s">
        <v>258</v>
      </c>
      <c r="B43" s="50" t="n">
        <f aca="false">IFERROR(B42/B9,0)</f>
        <v>0.041331546023235</v>
      </c>
      <c r="C43" s="50" t="n">
        <f aca="false">IFERROR(C42/C9,0)</f>
        <v>0.0650709865307608</v>
      </c>
      <c r="D43" s="50" t="n">
        <f aca="false">IFERROR(D42/D9,0)</f>
        <v>0.0544132397191575</v>
      </c>
      <c r="E43" s="50" t="n">
        <f aca="false">IFERROR(E42/E9,0)</f>
        <v>0.0322727895193317</v>
      </c>
      <c r="F43" s="50" t="n">
        <f aca="false">IFERROR(F42/F9,0)</f>
        <v>0.0428226635123187</v>
      </c>
      <c r="G43" s="50" t="n">
        <f aca="false">IFERROR(G42/G9,0)</f>
        <v>0.0313742819266461</v>
      </c>
      <c r="H43" s="50" t="n">
        <f aca="false">IFERROR(H42/H9,0)</f>
        <v>0.0229200505323949</v>
      </c>
      <c r="I43" s="50" t="n">
        <f aca="false">IFERROR(I42/I9,0)</f>
        <v>0.026720969504321</v>
      </c>
      <c r="J43" s="51" t="n">
        <f aca="false">IFERROR(J42/J9,0)</f>
        <v>0.0269691006033496</v>
      </c>
      <c r="K43" s="51" t="n">
        <f aca="false">IFERROR(K42/K9,0)</f>
        <v>0.026849817800145</v>
      </c>
    </row>
    <row r="44" customFormat="false" ht="15" hidden="false" customHeight="false" outlineLevel="0" collapsed="false">
      <c r="A44" s="9" t="s">
        <v>259</v>
      </c>
      <c r="B44" s="28" t="n">
        <v>0</v>
      </c>
      <c r="C44" s="28" t="n">
        <v>0</v>
      </c>
      <c r="D44" s="26" t="n">
        <f aca="false">B44+C44</f>
        <v>0</v>
      </c>
      <c r="E44" s="26" t="n">
        <f aca="false">F44-D44</f>
        <v>328</v>
      </c>
      <c r="F44" s="27" t="n">
        <f aca="false">'Income Statement'!E44</f>
        <v>328</v>
      </c>
      <c r="G44" s="28" t="n">
        <v>-328</v>
      </c>
      <c r="H44" s="28" t="n">
        <v>2189</v>
      </c>
      <c r="I44" s="26" t="n">
        <f aca="false">G44+H44</f>
        <v>1861</v>
      </c>
      <c r="J44" s="59" t="n">
        <f aca="false">Inputs!$C$42</f>
        <v>4023.30831803187</v>
      </c>
      <c r="K44" s="46" t="n">
        <f aca="false">I44+J44</f>
        <v>5884.30831803187</v>
      </c>
      <c r="M44" s="19" t="s">
        <v>260</v>
      </c>
    </row>
    <row r="45" customFormat="false" ht="15" hidden="false" customHeight="false" outlineLevel="0" collapsed="false">
      <c r="A45" s="9" t="s">
        <v>261</v>
      </c>
      <c r="B45" s="28" t="n">
        <v>-21</v>
      </c>
      <c r="C45" s="28" t="n">
        <v>25</v>
      </c>
      <c r="D45" s="26" t="n">
        <f aca="false">B45+C45</f>
        <v>4</v>
      </c>
      <c r="E45" s="26" t="n">
        <f aca="false">F45-D45</f>
        <v>-1</v>
      </c>
      <c r="F45" s="27" t="n">
        <f aca="false">'Income Statement'!E45</f>
        <v>3</v>
      </c>
      <c r="G45" s="28" t="n">
        <v>-16</v>
      </c>
      <c r="H45" s="28" t="n">
        <v>1</v>
      </c>
      <c r="I45" s="26" t="n">
        <f aca="false">G45+H45</f>
        <v>-15</v>
      </c>
      <c r="J45" s="46" t="n">
        <f aca="false">L45</f>
        <v>0</v>
      </c>
      <c r="K45" s="46" t="n">
        <f aca="false">I45+J45</f>
        <v>-15</v>
      </c>
      <c r="L45" s="29" t="n">
        <v>0</v>
      </c>
    </row>
    <row r="46" customFormat="false" ht="15" hidden="false" customHeight="false" outlineLevel="0" collapsed="false">
      <c r="A46" s="43" t="s">
        <v>262</v>
      </c>
      <c r="J46" s="45"/>
      <c r="K46" s="45"/>
      <c r="L46" s="52" t="n">
        <v>0.039</v>
      </c>
    </row>
    <row r="47" customFormat="false" ht="15" hidden="false" customHeight="false" outlineLevel="0" collapsed="false">
      <c r="A47" s="9" t="s">
        <v>263</v>
      </c>
      <c r="B47" s="28" t="n">
        <v>135</v>
      </c>
      <c r="C47" s="28" t="n">
        <v>156</v>
      </c>
      <c r="D47" s="26" t="n">
        <f aca="false">B47+C47</f>
        <v>291</v>
      </c>
      <c r="E47" s="26" t="n">
        <f aca="false">F47-D47</f>
        <v>330</v>
      </c>
      <c r="F47" s="27" t="n">
        <f aca="false">'Income Statement'!E47</f>
        <v>621</v>
      </c>
      <c r="G47" s="28" t="n">
        <v>150</v>
      </c>
      <c r="H47" s="28" t="n">
        <v>159</v>
      </c>
      <c r="I47" s="26" t="n">
        <f aca="false">G47+H47</f>
        <v>309</v>
      </c>
      <c r="J47" s="46" t="n">
        <f aca="false">L46*0.5*(Inputs!$C$22+Inputs!$C$25-Inputs!$C$26-Inputs!$C$28-Inputs!$C$29)</f>
        <v>275.835255258126</v>
      </c>
      <c r="K47" s="46" t="n">
        <f aca="false">I47+J47</f>
        <v>584.835255258126</v>
      </c>
    </row>
    <row r="48" customFormat="false" ht="15" hidden="false" customHeight="false" outlineLevel="0" collapsed="false">
      <c r="A48" s="9" t="s">
        <v>264</v>
      </c>
      <c r="B48" s="28" t="n">
        <v>47</v>
      </c>
      <c r="C48" s="28" t="n">
        <v>-23</v>
      </c>
      <c r="D48" s="26" t="n">
        <f aca="false">B48+C48</f>
        <v>24</v>
      </c>
      <c r="E48" s="26" t="n">
        <f aca="false">F48-D48</f>
        <v>-119</v>
      </c>
      <c r="F48" s="27" t="n">
        <f aca="false">'Income Statement'!E48</f>
        <v>-95</v>
      </c>
      <c r="G48" s="28" t="n">
        <v>-72</v>
      </c>
      <c r="H48" s="28" t="n">
        <v>-79</v>
      </c>
      <c r="I48" s="26" t="n">
        <f aca="false">G48+H48</f>
        <v>-151</v>
      </c>
      <c r="J48" s="46" t="n">
        <f aca="false">L48</f>
        <v>0</v>
      </c>
      <c r="K48" s="46" t="n">
        <f aca="false">I48+J48</f>
        <v>-151</v>
      </c>
      <c r="L48" s="29" t="n">
        <v>0</v>
      </c>
    </row>
    <row r="49" customFormat="false" ht="15" hidden="false" customHeight="false" outlineLevel="0" collapsed="false">
      <c r="A49" s="9" t="s">
        <v>265</v>
      </c>
      <c r="B49" s="28" t="n">
        <v>-14</v>
      </c>
      <c r="C49" s="28" t="n">
        <v>-11</v>
      </c>
      <c r="D49" s="26" t="n">
        <f aca="false">B49+C49</f>
        <v>-25</v>
      </c>
      <c r="E49" s="26" t="n">
        <f aca="false">F49-D49</f>
        <v>-25</v>
      </c>
      <c r="F49" s="27" t="n">
        <f aca="false">'Income Statement'!E50</f>
        <v>-50</v>
      </c>
      <c r="G49" s="28" t="n">
        <v>-12</v>
      </c>
      <c r="H49" s="28" t="n">
        <v>-28</v>
      </c>
      <c r="I49" s="26" t="n">
        <f aca="false">G49+H49</f>
        <v>-40</v>
      </c>
      <c r="J49" s="46" t="n">
        <f aca="false">L49</f>
        <v>-30</v>
      </c>
      <c r="K49" s="46" t="n">
        <f aca="false">I49+J49</f>
        <v>-70</v>
      </c>
      <c r="L49" s="29" t="n">
        <v>-30</v>
      </c>
    </row>
    <row r="50" customFormat="false" ht="15" hidden="false" customHeight="false" outlineLevel="0" collapsed="false">
      <c r="A50" s="9" t="s">
        <v>266</v>
      </c>
      <c r="B50" s="55" t="n">
        <f aca="false">B39+B44+B45+B47+B48+B49</f>
        <v>495</v>
      </c>
      <c r="C50" s="55" t="n">
        <f aca="false">C39+C44+C45+C47+C48+C49</f>
        <v>845</v>
      </c>
      <c r="D50" s="55" t="n">
        <f aca="false">D39+D44+D45+D47+D48+D49</f>
        <v>1340</v>
      </c>
      <c r="E50" s="55" t="n">
        <f aca="false">E39+E44+E45+E47+E48+E49</f>
        <v>1174</v>
      </c>
      <c r="F50" s="55" t="n">
        <f aca="false">F39+F44+F45+F47+F48+F49</f>
        <v>2514</v>
      </c>
      <c r="G50" s="55" t="n">
        <f aca="false">G39+G44+G45+G47+G48+G49</f>
        <v>-20</v>
      </c>
      <c r="H50" s="55" t="n">
        <f aca="false">H39+H44+H45+H47+H48+H49</f>
        <v>2477</v>
      </c>
      <c r="I50" s="55" t="n">
        <f aca="false">I39+I44+I45+I47+I48+I49</f>
        <v>2457</v>
      </c>
      <c r="J50" s="56" t="n">
        <f aca="false">J39+J44+J45+J47+J48+J49</f>
        <v>4810.68321528999</v>
      </c>
      <c r="K50" s="56" t="n">
        <f aca="false">K39+K44+K45+K47+K48+K49</f>
        <v>7267.68321528999</v>
      </c>
    </row>
    <row r="51" customFormat="false" ht="15" hidden="false" customHeight="false" outlineLevel="0" collapsed="false">
      <c r="A51" s="9" t="s">
        <v>267</v>
      </c>
      <c r="B51" s="28" t="n">
        <v>100</v>
      </c>
      <c r="C51" s="28" t="n">
        <v>154</v>
      </c>
      <c r="D51" s="26" t="n">
        <f aca="false">B51+C51</f>
        <v>254</v>
      </c>
      <c r="E51" s="26" t="n">
        <f aca="false">F51-D51</f>
        <v>196</v>
      </c>
      <c r="F51" s="27" t="n">
        <f aca="false">'Income Statement'!E52</f>
        <v>450</v>
      </c>
      <c r="G51" s="28" t="n">
        <v>79</v>
      </c>
      <c r="H51" s="28" t="n">
        <v>79</v>
      </c>
      <c r="I51" s="26" t="n">
        <f aca="false">G51+H51</f>
        <v>158</v>
      </c>
      <c r="J51" s="46" t="n">
        <f aca="false">L52*(J50-J44-J45)</f>
        <v>181.096226369369</v>
      </c>
      <c r="K51" s="46" t="n">
        <f aca="false">I51+J51</f>
        <v>339.096226369369</v>
      </c>
    </row>
    <row r="52" customFormat="false" ht="15" hidden="false" customHeight="false" outlineLevel="0" collapsed="false">
      <c r="A52" s="43" t="s">
        <v>268</v>
      </c>
      <c r="B52" s="50" t="n">
        <f aca="false">IFERROR(B51/(B50-B44-B45),0)</f>
        <v>0.193798449612403</v>
      </c>
      <c r="C52" s="50" t="n">
        <f aca="false">IFERROR(C51/(C50-C44-C45),0)</f>
        <v>0.187804878048781</v>
      </c>
      <c r="D52" s="50" t="n">
        <f aca="false">IFERROR(D51/(D50-D44-D45),0)</f>
        <v>0.190119760479042</v>
      </c>
      <c r="E52" s="50" t="n">
        <f aca="false">IFERROR(E51/(E50-E44-E45),0)</f>
        <v>0.231404958677686</v>
      </c>
      <c r="F52" s="50" t="n">
        <f aca="false">IFERROR(F51/(F50-F44-F45),0)</f>
        <v>0.206138341731562</v>
      </c>
      <c r="G52" s="50" t="n">
        <f aca="false">IFERROR(G51/(G50-G44-G45),0)</f>
        <v>0.243827160493827</v>
      </c>
      <c r="H52" s="50" t="n">
        <f aca="false">IFERROR(H51/(H50-H44-H45),0)</f>
        <v>0.275261324041812</v>
      </c>
      <c r="I52" s="50" t="n">
        <f aca="false">IFERROR(I51/(I50-I44-I45),0)</f>
        <v>0.258592471358429</v>
      </c>
      <c r="J52" s="51" t="n">
        <f aca="false">IFERROR(J51/(J50-J44-J45),0)</f>
        <v>0.23</v>
      </c>
      <c r="K52" s="51" t="n">
        <f aca="false">IFERROR(K51/(K50-K44-K45),0)</f>
        <v>0.242493073233977</v>
      </c>
      <c r="L52" s="52" t="n">
        <v>0.23</v>
      </c>
    </row>
    <row r="53" customFormat="false" ht="15" hidden="false" customHeight="false" outlineLevel="0" collapsed="false">
      <c r="A53" s="6" t="s">
        <v>269</v>
      </c>
      <c r="B53" s="47" t="n">
        <f aca="false">B50-B51</f>
        <v>395</v>
      </c>
      <c r="C53" s="47" t="n">
        <f aca="false">C50-C51</f>
        <v>691</v>
      </c>
      <c r="D53" s="47" t="n">
        <f aca="false">D50-D51</f>
        <v>1086</v>
      </c>
      <c r="E53" s="47" t="n">
        <f aca="false">E50-E51</f>
        <v>978</v>
      </c>
      <c r="F53" s="47" t="n">
        <f aca="false">F50-F51</f>
        <v>2064</v>
      </c>
      <c r="G53" s="47" t="n">
        <f aca="false">G50-G51</f>
        <v>-99</v>
      </c>
      <c r="H53" s="47" t="n">
        <f aca="false">H50-H51</f>
        <v>2398</v>
      </c>
      <c r="I53" s="47" t="n">
        <f aca="false">I50-I51</f>
        <v>2299</v>
      </c>
      <c r="J53" s="48" t="n">
        <f aca="false">J50-J51</f>
        <v>4629.58698892062</v>
      </c>
      <c r="K53" s="48" t="n">
        <f aca="false">K50-K51</f>
        <v>6928.58698892062</v>
      </c>
    </row>
    <row r="54" customFormat="false" ht="15" hidden="false" customHeight="false" outlineLevel="0" collapsed="false">
      <c r="A54" s="9" t="s">
        <v>270</v>
      </c>
      <c r="B54" s="28" t="n">
        <v>2</v>
      </c>
      <c r="C54" s="28" t="n">
        <v>0</v>
      </c>
      <c r="D54" s="26" t="n">
        <f aca="false">B54+C54</f>
        <v>2</v>
      </c>
      <c r="E54" s="26" t="n">
        <f aca="false">F54-D54</f>
        <v>-4</v>
      </c>
      <c r="F54" s="27" t="n">
        <f aca="false">'Income Statement'!E57</f>
        <v>-2</v>
      </c>
      <c r="G54" s="28" t="n">
        <v>0</v>
      </c>
      <c r="H54" s="28" t="n">
        <v>1</v>
      </c>
      <c r="I54" s="26" t="n">
        <f aca="false">G54+H54</f>
        <v>1</v>
      </c>
      <c r="J54" s="46" t="n">
        <f aca="false">L54</f>
        <v>0</v>
      </c>
      <c r="K54" s="46" t="n">
        <f aca="false">I54+J54</f>
        <v>1</v>
      </c>
      <c r="L54" s="29" t="n">
        <v>0</v>
      </c>
    </row>
    <row r="55" customFormat="false" ht="15" hidden="false" customHeight="false" outlineLevel="0" collapsed="false">
      <c r="A55" s="6" t="s">
        <v>271</v>
      </c>
      <c r="B55" s="57" t="n">
        <f aca="false">B53+B41-B44-B45+B54</f>
        <v>440</v>
      </c>
      <c r="C55" s="57" t="n">
        <f aca="false">C53+C41-C44-C45+C54</f>
        <v>683</v>
      </c>
      <c r="D55" s="57" t="n">
        <f aca="false">D53+D41-D44-D45+D54</f>
        <v>1123</v>
      </c>
      <c r="E55" s="57" t="n">
        <f aca="false">E53+E41-E44-E45+E54</f>
        <v>693</v>
      </c>
      <c r="F55" s="57" t="n">
        <f aca="false">F53+F41-F44-F45+F54</f>
        <v>1816</v>
      </c>
      <c r="G55" s="57" t="n">
        <f aca="false">G53+G41-G44-G45+G54</f>
        <v>271</v>
      </c>
      <c r="H55" s="57" t="n">
        <f aca="false">H53+H41-H44-H45+H54</f>
        <v>228</v>
      </c>
      <c r="I55" s="57" t="n">
        <f aca="false">I53+I41-I44-I45+I54</f>
        <v>499</v>
      </c>
      <c r="J55" s="58" t="n">
        <f aca="false">J53+J41-J44-J45+J54</f>
        <v>651.278670888756</v>
      </c>
      <c r="K55" s="58" t="n">
        <f aca="false">K53+K41-K44-K45+K54</f>
        <v>1150.27867088875</v>
      </c>
    </row>
    <row r="56" customFormat="false" ht="15" hidden="false" customHeight="false" outlineLevel="0" collapsed="false">
      <c r="A56" s="43" t="s">
        <v>272</v>
      </c>
      <c r="B56" s="50" t="n">
        <f aca="false">IFERROR(B55/B9,0)</f>
        <v>0.0491510277033065</v>
      </c>
      <c r="C56" s="50" t="n">
        <f aca="false">IFERROR(C55/C9,0)</f>
        <v>0.0621587186021114</v>
      </c>
      <c r="D56" s="50" t="n">
        <f aca="false">IFERROR(D55/D9,0)</f>
        <v>0.0563189568706118</v>
      </c>
      <c r="E56" s="50" t="n">
        <f aca="false">IFERROR(E55/E9,0)</f>
        <v>0.0316337243803351</v>
      </c>
      <c r="F56" s="50" t="n">
        <f aca="false">IFERROR(F55/F9,0)</f>
        <v>0.0433961813272158</v>
      </c>
      <c r="G56" s="50" t="n">
        <f aca="false">IFERROR(G55/G9,0)</f>
        <v>0.0299381352187362</v>
      </c>
      <c r="H56" s="50" t="n">
        <f aca="false">IFERROR(H55/H9,0)</f>
        <v>0.0205739036275041</v>
      </c>
      <c r="I56" s="50" t="n">
        <f aca="false">IFERROR(I55/I9,0)</f>
        <v>0.0247839475514056</v>
      </c>
      <c r="J56" s="51" t="n">
        <f aca="false">IFERROR(J55/J9,0)</f>
        <v>0.0299458020196609</v>
      </c>
      <c r="K56" s="51" t="n">
        <f aca="false">IFERROR(K55/K9,0)</f>
        <v>0.0274643699334844</v>
      </c>
    </row>
    <row r="57" customFormat="false" ht="15" hidden="false" customHeight="false" outlineLevel="0" collapsed="false">
      <c r="A57" s="4" t="s">
        <v>273</v>
      </c>
      <c r="B57" s="5"/>
      <c r="C57" s="5"/>
      <c r="D57" s="5"/>
      <c r="E57" s="5"/>
      <c r="F57" s="5"/>
      <c r="G57" s="5"/>
      <c r="H57" s="5"/>
      <c r="I57" s="5"/>
      <c r="J57" s="45"/>
      <c r="K57" s="45"/>
      <c r="L57" s="5"/>
      <c r="M57" s="5"/>
    </row>
    <row r="58" customFormat="false" ht="15" hidden="false" customHeight="false" outlineLevel="0" collapsed="false">
      <c r="A58" s="9" t="s">
        <v>274</v>
      </c>
      <c r="D58" s="28" t="n">
        <v>76</v>
      </c>
      <c r="E58" s="26" t="n">
        <f aca="false">F58-D58</f>
        <v>75</v>
      </c>
      <c r="F58" s="27" t="n">
        <f aca="false">'Income Statement'!E36</f>
        <v>151</v>
      </c>
      <c r="I58" s="28" t="n">
        <v>87</v>
      </c>
      <c r="J58" s="46" t="n">
        <f aca="false">K58-I58</f>
        <v>93.095094</v>
      </c>
      <c r="K58" s="59" t="n">
        <f aca="false">'Income Statement'!F36</f>
        <v>180.095094</v>
      </c>
    </row>
    <row r="59" customFormat="false" ht="15" hidden="false" customHeight="false" outlineLevel="0" collapsed="false">
      <c r="A59" s="9" t="s">
        <v>275</v>
      </c>
      <c r="D59" s="28" t="n">
        <v>122</v>
      </c>
      <c r="E59" s="26" t="n">
        <f aca="false">F59-D59</f>
        <v>125</v>
      </c>
      <c r="F59" s="27" t="n">
        <f aca="false">'Income Statement'!E38</f>
        <v>247</v>
      </c>
      <c r="I59" s="28" t="n">
        <v>139</v>
      </c>
      <c r="J59" s="46" t="n">
        <f aca="false">K59-I59</f>
        <v>145.801544</v>
      </c>
      <c r="K59" s="59" t="n">
        <f aca="false">'Income Statement'!F38</f>
        <v>284.801544</v>
      </c>
    </row>
    <row r="60" customFormat="false" ht="15" hidden="false" customHeight="false" outlineLevel="0" collapsed="false">
      <c r="A60" s="9" t="s">
        <v>276</v>
      </c>
      <c r="D60" s="28" t="n">
        <v>103</v>
      </c>
      <c r="E60" s="26" t="n">
        <f aca="false">F60-D60</f>
        <v>119</v>
      </c>
      <c r="F60" s="26" t="n">
        <f aca="false">-'Cash Flow'!E27</f>
        <v>222</v>
      </c>
      <c r="I60" s="28" t="n">
        <v>140</v>
      </c>
      <c r="J60" s="46" t="n">
        <f aca="false">K60-I60</f>
        <v>153.17806</v>
      </c>
      <c r="K60" s="46" t="n">
        <f aca="false">-'Cash Flow'!F27</f>
        <v>293.17806</v>
      </c>
    </row>
    <row r="61" customFormat="false" ht="15" hidden="false" customHeight="false" outlineLevel="0" collapsed="false">
      <c r="A61" s="9" t="s">
        <v>277</v>
      </c>
      <c r="D61" s="28" t="n">
        <v>2877</v>
      </c>
      <c r="E61" s="26" t="n">
        <f aca="false">F61-D61</f>
        <v>-39</v>
      </c>
      <c r="F61" s="27" t="n">
        <f aca="false">'Cash Flow'!E24</f>
        <v>2838</v>
      </c>
      <c r="I61" s="28" t="n">
        <v>1205</v>
      </c>
      <c r="J61" s="45"/>
      <c r="K61" s="45"/>
    </row>
    <row r="62" customFormat="false" ht="15" hidden="false" customHeight="false" outlineLevel="0" collapsed="false">
      <c r="A62" s="4" t="s">
        <v>278</v>
      </c>
      <c r="B62" s="5"/>
      <c r="C62" s="5"/>
      <c r="D62" s="5"/>
      <c r="E62" s="5"/>
      <c r="F62" s="5"/>
      <c r="G62" s="5"/>
      <c r="H62" s="5"/>
      <c r="I62" s="5"/>
      <c r="J62" s="45"/>
      <c r="K62" s="45"/>
      <c r="L62" s="5"/>
      <c r="M62" s="5"/>
    </row>
    <row r="63" customFormat="false" ht="15" hidden="false" customHeight="false" outlineLevel="0" collapsed="false">
      <c r="A63" s="9" t="s">
        <v>279</v>
      </c>
      <c r="F63" s="28" t="n">
        <v>4481</v>
      </c>
      <c r="I63" s="28" t="n">
        <v>3043</v>
      </c>
      <c r="J63" s="45"/>
      <c r="K63" s="45"/>
    </row>
    <row r="64" customFormat="false" ht="15" hidden="false" customHeight="false" outlineLevel="0" collapsed="false">
      <c r="A64" s="9" t="s">
        <v>280</v>
      </c>
      <c r="F64" s="28" t="n">
        <v>550</v>
      </c>
      <c r="I64" s="28" t="n">
        <v>622</v>
      </c>
      <c r="J64" s="45"/>
      <c r="K64" s="45"/>
    </row>
    <row r="65" customFormat="false" ht="15" hidden="false" customHeight="false" outlineLevel="0" collapsed="false">
      <c r="A65" s="9" t="s">
        <v>281</v>
      </c>
      <c r="F65" s="28" t="n">
        <v>32</v>
      </c>
      <c r="I65" s="28" t="n">
        <v>38</v>
      </c>
      <c r="J65" s="45"/>
      <c r="K65" s="45"/>
    </row>
    <row r="66" customFormat="false" ht="15" hidden="false" customHeight="false" outlineLevel="0" collapsed="false">
      <c r="A66" s="9" t="s">
        <v>282</v>
      </c>
      <c r="F66" s="28" t="n">
        <v>9723</v>
      </c>
      <c r="I66" s="28" t="n">
        <v>11545</v>
      </c>
      <c r="J66" s="45"/>
      <c r="K66" s="45"/>
    </row>
    <row r="67" customFormat="false" ht="15" hidden="false" customHeight="false" outlineLevel="0" collapsed="false">
      <c r="A67" s="9" t="s">
        <v>283</v>
      </c>
      <c r="F67" s="28" t="n">
        <v>718</v>
      </c>
      <c r="I67" s="28" t="n">
        <v>1223</v>
      </c>
      <c r="J67" s="45"/>
      <c r="K67" s="45"/>
    </row>
    <row r="68" customFormat="false" ht="15" hidden="false" customHeight="false" outlineLevel="0" collapsed="false">
      <c r="A68" s="9" t="s">
        <v>284</v>
      </c>
      <c r="F68" s="28" t="n">
        <v>534</v>
      </c>
      <c r="I68" s="28" t="n">
        <v>598</v>
      </c>
      <c r="J68" s="45"/>
      <c r="K68" s="45"/>
    </row>
    <row r="69" customFormat="false" ht="15" hidden="false" customHeight="false" outlineLevel="0" collapsed="false">
      <c r="A69" s="9" t="s">
        <v>285</v>
      </c>
      <c r="F69" s="28" t="n">
        <v>1261</v>
      </c>
      <c r="I69" s="28" t="n">
        <v>1540</v>
      </c>
      <c r="J69" s="45"/>
      <c r="K69" s="45"/>
    </row>
    <row r="70" customFormat="false" ht="15" hidden="false" customHeight="false" outlineLevel="0" collapsed="false">
      <c r="A70" s="9" t="s">
        <v>286</v>
      </c>
      <c r="F70" s="28" t="n">
        <v>326</v>
      </c>
      <c r="I70" s="28" t="n">
        <v>450</v>
      </c>
      <c r="J70" s="45"/>
      <c r="K70" s="45"/>
    </row>
    <row r="71" customFormat="false" ht="15" hidden="false" customHeight="false" outlineLevel="0" collapsed="false">
      <c r="A71" s="9" t="s">
        <v>287</v>
      </c>
      <c r="F71" s="28" t="n">
        <v>38</v>
      </c>
      <c r="I71" s="28" t="n">
        <v>135</v>
      </c>
      <c r="J71" s="45"/>
      <c r="K71" s="45"/>
    </row>
    <row r="72" customFormat="false" ht="15" hidden="false" customHeight="false" outlineLevel="0" collapsed="false">
      <c r="A72" s="9" t="s">
        <v>288</v>
      </c>
      <c r="F72" s="28" t="n">
        <v>102</v>
      </c>
      <c r="I72" s="28" t="n">
        <v>125</v>
      </c>
      <c r="J72" s="45"/>
      <c r="K72" s="45"/>
    </row>
    <row r="73" customFormat="false" ht="15" hidden="false" customHeight="false" outlineLevel="0" collapsed="false">
      <c r="A73" s="9" t="s">
        <v>289</v>
      </c>
      <c r="F73" s="28" t="n">
        <v>266</v>
      </c>
      <c r="I73" s="28" t="n">
        <v>249</v>
      </c>
      <c r="J73" s="45"/>
      <c r="K73" s="45"/>
    </row>
    <row r="74" customFormat="false" ht="15" hidden="false" customHeight="false" outlineLevel="0" collapsed="false">
      <c r="A74" s="9" t="s">
        <v>290</v>
      </c>
      <c r="F74" s="28" t="n">
        <v>158</v>
      </c>
      <c r="I74" s="28" t="n">
        <v>162</v>
      </c>
      <c r="J74" s="45"/>
      <c r="K74" s="45"/>
    </row>
    <row r="75" customFormat="false" ht="15" hidden="false" customHeight="false" outlineLevel="0" collapsed="false">
      <c r="A75" s="9" t="s">
        <v>291</v>
      </c>
      <c r="F75" s="28" t="n">
        <v>120</v>
      </c>
      <c r="I75" s="28" t="n">
        <v>109</v>
      </c>
      <c r="J75" s="45"/>
      <c r="K75" s="45"/>
    </row>
    <row r="76" customFormat="false" ht="15" hidden="false" customHeight="false" outlineLevel="0" collapsed="false">
      <c r="A76" s="9" t="s">
        <v>292</v>
      </c>
      <c r="F76" s="28" t="n">
        <v>3019</v>
      </c>
      <c r="I76" s="28" t="n">
        <v>4098</v>
      </c>
      <c r="J76" s="45"/>
      <c r="K76" s="45"/>
    </row>
    <row r="77" customFormat="false" ht="15" hidden="false" customHeight="false" outlineLevel="0" collapsed="false">
      <c r="A77" s="9" t="s">
        <v>293</v>
      </c>
      <c r="F77" s="28" t="n">
        <v>3268</v>
      </c>
      <c r="I77" s="28" t="n">
        <v>4107</v>
      </c>
      <c r="J77" s="45"/>
      <c r="K77" s="45"/>
    </row>
    <row r="78" customFormat="false" ht="15" hidden="false" customHeight="false" outlineLevel="0" collapsed="false">
      <c r="A78" s="9" t="s">
        <v>294</v>
      </c>
      <c r="F78" s="28" t="n">
        <v>233</v>
      </c>
      <c r="I78" s="28" t="n">
        <v>250</v>
      </c>
      <c r="J78" s="45"/>
      <c r="K78" s="45"/>
    </row>
    <row r="79" customFormat="false" ht="15" hidden="false" customHeight="false" outlineLevel="0" collapsed="false">
      <c r="A79" s="9" t="s">
        <v>295</v>
      </c>
      <c r="F79" s="28" t="n">
        <v>0</v>
      </c>
      <c r="I79" s="28" t="n">
        <v>357</v>
      </c>
      <c r="J79" s="45"/>
      <c r="K79" s="45"/>
    </row>
    <row r="80" customFormat="false" ht="15" hidden="false" customHeight="false" outlineLevel="0" collapsed="false">
      <c r="A80" s="9" t="s">
        <v>296</v>
      </c>
      <c r="F80" s="28" t="n">
        <v>789</v>
      </c>
      <c r="I80" s="28" t="n">
        <v>1187</v>
      </c>
      <c r="J80" s="45"/>
      <c r="K80" s="45"/>
    </row>
    <row r="81" customFormat="false" ht="15" hidden="false" customHeight="false" outlineLevel="0" collapsed="false">
      <c r="A81" s="9" t="s">
        <v>297</v>
      </c>
      <c r="F81" s="28" t="n">
        <v>933</v>
      </c>
      <c r="I81" s="28" t="n">
        <v>709</v>
      </c>
      <c r="J81" s="45"/>
      <c r="K81" s="45"/>
    </row>
    <row r="82" customFormat="false" ht="15" hidden="false" customHeight="false" outlineLevel="0" collapsed="false">
      <c r="A82" s="9" t="s">
        <v>298</v>
      </c>
      <c r="F82" s="28" t="n">
        <v>18048</v>
      </c>
      <c r="I82" s="28" t="n">
        <v>15105</v>
      </c>
      <c r="J82" s="45"/>
      <c r="K82" s="45"/>
    </row>
    <row r="83" customFormat="false" ht="15" hidden="false" customHeight="false" outlineLevel="0" collapsed="false">
      <c r="A83" s="9" t="s">
        <v>299</v>
      </c>
      <c r="F83" s="28" t="n">
        <v>1101</v>
      </c>
      <c r="I83" s="28" t="n">
        <v>1145</v>
      </c>
      <c r="J83" s="45"/>
      <c r="K83" s="45"/>
    </row>
    <row r="84" customFormat="false" ht="15" hidden="false" customHeight="false" outlineLevel="0" collapsed="false">
      <c r="A84" s="9" t="s">
        <v>300</v>
      </c>
      <c r="F84" s="28" t="n">
        <v>5</v>
      </c>
      <c r="I84" s="28" t="n">
        <v>15</v>
      </c>
      <c r="J84" s="45"/>
      <c r="K84" s="45"/>
    </row>
    <row r="85" customFormat="false" ht="15" hidden="false" customHeight="false" outlineLevel="0" collapsed="false">
      <c r="A85" s="9" t="s">
        <v>301</v>
      </c>
      <c r="F85" s="28" t="n">
        <v>0</v>
      </c>
      <c r="I85" s="28" t="n">
        <v>31</v>
      </c>
      <c r="J85" s="45"/>
      <c r="K85" s="45"/>
    </row>
    <row r="86" customFormat="false" ht="15" hidden="false" customHeight="false" outlineLevel="0" collapsed="false">
      <c r="A86" s="9" t="s">
        <v>302</v>
      </c>
      <c r="F86" s="28" t="n">
        <v>-6897</v>
      </c>
      <c r="I86" s="28" t="n">
        <v>-4514</v>
      </c>
      <c r="J86" s="45"/>
      <c r="K86" s="45"/>
    </row>
    <row r="87" customFormat="false" ht="15" hidden="false" customHeight="false" outlineLevel="0" collapsed="false">
      <c r="A87" s="6" t="s">
        <v>303</v>
      </c>
      <c r="F87" s="47" t="n">
        <f aca="false">F63+F64+F65+F66</f>
        <v>14786</v>
      </c>
      <c r="I87" s="47" t="n">
        <f aca="false">I63+I64+I65+I66</f>
        <v>15248</v>
      </c>
      <c r="J87" s="45"/>
      <c r="K87" s="45"/>
    </row>
    <row r="88" customFormat="false" ht="15" hidden="false" customHeight="false" outlineLevel="0" collapsed="false">
      <c r="A88" s="6" t="s">
        <v>304</v>
      </c>
      <c r="F88" s="57" t="n">
        <f aca="false">F67+F68+F69+F70-F76-(F77-F78-F79)-F80</f>
        <v>-4004</v>
      </c>
      <c r="I88" s="57" t="n">
        <f aca="false">I67+I68+I69+I70-I76-(I77-I78-I79)-I80</f>
        <v>-4974</v>
      </c>
      <c r="J88" s="45"/>
      <c r="K88" s="45"/>
      <c r="M88" s="19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2" min="3" style="0" width="11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306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207</v>
      </c>
      <c r="C4" s="44" t="s">
        <v>308</v>
      </c>
      <c r="D4" s="44" t="s">
        <v>309</v>
      </c>
      <c r="E4" s="44" t="s">
        <v>212</v>
      </c>
      <c r="F4" s="44" t="s">
        <v>217</v>
      </c>
      <c r="G4" s="44" t="s">
        <v>158</v>
      </c>
      <c r="H4" s="44" t="s">
        <v>159</v>
      </c>
      <c r="I4" s="44" t="s">
        <v>160</v>
      </c>
      <c r="J4" s="44" t="s">
        <v>161</v>
      </c>
      <c r="K4" s="44" t="s">
        <v>162</v>
      </c>
    </row>
    <row r="5" customFormat="false" ht="15" hidden="false" customHeight="false" outlineLevel="0" collapsed="false">
      <c r="A5" s="4" t="s">
        <v>310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9" t="s">
        <v>311</v>
      </c>
      <c r="C6" s="28" t="n">
        <v>186</v>
      </c>
      <c r="D6" s="28" t="n">
        <v>230</v>
      </c>
      <c r="E6" s="28" t="n">
        <v>273</v>
      </c>
      <c r="F6" s="60" t="n">
        <v>300</v>
      </c>
      <c r="G6" s="46" t="n">
        <f aca="false">F6*(1+G7)</f>
        <v>318</v>
      </c>
      <c r="H6" s="46" t="n">
        <f aca="false">G6*(1+H7)</f>
        <v>333.9</v>
      </c>
      <c r="I6" s="46" t="n">
        <f aca="false">H6*(1+I7)</f>
        <v>347.256</v>
      </c>
      <c r="J6" s="46" t="n">
        <f aca="false">I6*(1+J7)</f>
        <v>361.14624</v>
      </c>
      <c r="K6" s="46" t="n">
        <f aca="false">J6*(1+K7)</f>
        <v>373.7863584</v>
      </c>
      <c r="M6" s="19" t="s">
        <v>312</v>
      </c>
    </row>
    <row r="7" customFormat="false" ht="15" hidden="false" customHeight="false" outlineLevel="0" collapsed="false">
      <c r="A7" s="43" t="s">
        <v>313</v>
      </c>
      <c r="D7" s="50" t="n">
        <f aca="false">IFERROR(D6/C6-1,0)</f>
        <v>0.236559139784946</v>
      </c>
      <c r="E7" s="50" t="n">
        <f aca="false">IFERROR(E6/D6-1,0)</f>
        <v>0.18695652173913</v>
      </c>
      <c r="F7" s="51" t="n">
        <f aca="false">IFERROR(F6/E6-1,0)</f>
        <v>0.098901098901099</v>
      </c>
      <c r="G7" s="61" t="n">
        <f aca="false">Scenarios!C56</f>
        <v>0.06</v>
      </c>
      <c r="H7" s="61" t="n">
        <f aca="false">Scenarios!D56</f>
        <v>0.05</v>
      </c>
      <c r="I7" s="61" t="n">
        <f aca="false">Scenarios!E56</f>
        <v>0.04</v>
      </c>
      <c r="J7" s="61" t="n">
        <f aca="false">Scenarios!F56</f>
        <v>0.04</v>
      </c>
      <c r="K7" s="61" t="n">
        <f aca="false">Scenarios!G56</f>
        <v>0.035</v>
      </c>
    </row>
    <row r="8" customFormat="false" ht="15" hidden="false" customHeight="false" outlineLevel="0" collapsed="false">
      <c r="A8" s="9" t="s">
        <v>187</v>
      </c>
      <c r="C8" s="39" t="n">
        <f aca="false">C9/C6</f>
        <v>3.84408602150538</v>
      </c>
      <c r="D8" s="39" t="n">
        <f aca="false">D9/D6</f>
        <v>3.99565217391304</v>
      </c>
      <c r="E8" s="39" t="n">
        <f aca="false">E9/E6</f>
        <v>3.94871794871795</v>
      </c>
      <c r="F8" s="62" t="n">
        <f aca="false">F9/F6</f>
        <v>3.8122</v>
      </c>
      <c r="G8" s="63" t="n">
        <f aca="false">Scenarios!C61</f>
        <v>3.85</v>
      </c>
      <c r="H8" s="63" t="n">
        <f aca="false">Scenarios!D61</f>
        <v>3.9</v>
      </c>
      <c r="I8" s="63" t="n">
        <f aca="false">Scenarios!E61</f>
        <v>3.95</v>
      </c>
      <c r="J8" s="63" t="n">
        <f aca="false">Scenarios!F61</f>
        <v>4</v>
      </c>
      <c r="K8" s="63" t="n">
        <f aca="false">Scenarios!G61</f>
        <v>4</v>
      </c>
    </row>
    <row r="9" customFormat="false" ht="15" hidden="false" customHeight="false" outlineLevel="0" collapsed="false">
      <c r="A9" s="6" t="s">
        <v>238</v>
      </c>
      <c r="C9" s="64" t="n">
        <v>715</v>
      </c>
      <c r="D9" s="64" t="n">
        <v>919</v>
      </c>
      <c r="E9" s="64" t="n">
        <v>1078</v>
      </c>
      <c r="F9" s="65" t="n">
        <f aca="false">Interim!K21</f>
        <v>1143.66</v>
      </c>
      <c r="G9" s="58" t="n">
        <f aca="false">G6*G8</f>
        <v>1224.3</v>
      </c>
      <c r="H9" s="58" t="n">
        <f aca="false">H6*H8</f>
        <v>1302.21</v>
      </c>
      <c r="I9" s="58" t="n">
        <f aca="false">I6*I8</f>
        <v>1371.6612</v>
      </c>
      <c r="J9" s="58" t="n">
        <f aca="false">J6*J8</f>
        <v>1444.58496</v>
      </c>
      <c r="K9" s="58" t="n">
        <f aca="false">K6*K8</f>
        <v>1495.1454336</v>
      </c>
    </row>
    <row r="10" customFormat="false" ht="15" hidden="false" customHeight="false" outlineLevel="0" collapsed="false">
      <c r="A10" s="43" t="s">
        <v>313</v>
      </c>
      <c r="D10" s="50" t="n">
        <f aca="false">IFERROR(D9/C9-1,0)</f>
        <v>0.285314685314685</v>
      </c>
      <c r="E10" s="50" t="n">
        <f aca="false">IFERROR(E9/D9-1,0)</f>
        <v>0.173014145810664</v>
      </c>
      <c r="F10" s="51" t="n">
        <f aca="false">IFERROR(F9/E9-1,0)</f>
        <v>0.060909090909091</v>
      </c>
      <c r="G10" s="51" t="n">
        <f aca="false">IFERROR(G9/F9-1,0)</f>
        <v>0.0705104663973557</v>
      </c>
      <c r="H10" s="51" t="n">
        <f aca="false">IFERROR(H9/G9-1,0)</f>
        <v>0.0636363636363637</v>
      </c>
      <c r="I10" s="51" t="n">
        <f aca="false">IFERROR(I9/H9-1,0)</f>
        <v>0.0533333333333335</v>
      </c>
      <c r="J10" s="51" t="n">
        <f aca="false">IFERROR(J9/I9-1,0)</f>
        <v>0.0531645569620252</v>
      </c>
      <c r="K10" s="51" t="n">
        <f aca="false">IFERROR(K9/J9-1,0)</f>
        <v>0.0349999999999999</v>
      </c>
    </row>
    <row r="11" customFormat="false" ht="15" hidden="false" customHeight="false" outlineLevel="0" collapsed="false">
      <c r="A11" s="9" t="s">
        <v>241</v>
      </c>
      <c r="C11" s="39" t="n">
        <f aca="false">C24/C9</f>
        <v>44.8993006993007</v>
      </c>
      <c r="D11" s="39" t="n">
        <f aca="false">D24/D9</f>
        <v>42.1632208922742</v>
      </c>
      <c r="E11" s="39" t="n">
        <f aca="false">E24/E9</f>
        <v>38.8191094619666</v>
      </c>
      <c r="F11" s="62" t="n">
        <f aca="false">F24/F9</f>
        <v>36.6215308745606</v>
      </c>
      <c r="G11" s="62" t="n">
        <f aca="false">G24/G9</f>
        <v>35.8486821857388</v>
      </c>
      <c r="H11" s="62" t="n">
        <f aca="false">H24/H9</f>
        <v>36.0617245329094</v>
      </c>
      <c r="I11" s="62" t="n">
        <f aca="false">I24/I9</f>
        <v>36.5794286666124</v>
      </c>
      <c r="J11" s="62" t="n">
        <f aca="false">J24/J9</f>
        <v>36.9449311564246</v>
      </c>
      <c r="K11" s="62" t="n">
        <f aca="false">K24/K9</f>
        <v>37.7057931981764</v>
      </c>
    </row>
    <row r="12" customFormat="false" ht="15" hidden="false" customHeight="false" outlineLevel="0" collapsed="false">
      <c r="A12" s="43" t="s">
        <v>313</v>
      </c>
      <c r="D12" s="50" t="n">
        <f aca="false">IFERROR(D11/C11-1,0)</f>
        <v>-0.0609381385547748</v>
      </c>
      <c r="E12" s="50" t="n">
        <f aca="false">IFERROR(E11/D11-1,0)</f>
        <v>-0.0793134717779677</v>
      </c>
      <c r="F12" s="51" t="n">
        <f aca="false">IFERROR(F11/E11-1,0)</f>
        <v>-0.0566107419223278</v>
      </c>
      <c r="G12" s="51" t="n">
        <f aca="false">IFERROR(G11/F11-1,0)</f>
        <v>-0.0211036696272764</v>
      </c>
      <c r="H12" s="51" t="n">
        <f aca="false">IFERROR(H11/G11-1,0)</f>
        <v>0.00594282227912424</v>
      </c>
      <c r="I12" s="51" t="n">
        <f aca="false">IFERROR(I11/H11-1,0)</f>
        <v>0.0143560559127043</v>
      </c>
      <c r="J12" s="51" t="n">
        <f aca="false">IFERROR(J11/I11-1,0)</f>
        <v>0.00999202292478119</v>
      </c>
      <c r="K12" s="51" t="n">
        <f aca="false">IFERROR(K11/J11-1,0)</f>
        <v>0.0205944907172879</v>
      </c>
      <c r="M12" s="19" t="s">
        <v>314</v>
      </c>
    </row>
    <row r="13" customFormat="false" ht="15" hidden="false" customHeight="false" outlineLevel="0" collapsed="false">
      <c r="A13" s="9" t="s">
        <v>315</v>
      </c>
      <c r="C13" s="24" t="n">
        <f aca="false">C24/C6</f>
        <v>172.596774193548</v>
      </c>
      <c r="D13" s="24" t="n">
        <f aca="false">D24/D6</f>
        <v>168.469565217391</v>
      </c>
      <c r="E13" s="24" t="n">
        <f aca="false">E24/E6</f>
        <v>153.285714285714</v>
      </c>
      <c r="F13" s="66" t="n">
        <f aca="false">F24/F6</f>
        <v>139.6086</v>
      </c>
      <c r="G13" s="66" t="n">
        <f aca="false">G24/G6</f>
        <v>138.017426415094</v>
      </c>
      <c r="H13" s="66" t="n">
        <f aca="false">H24/H6</f>
        <v>140.640725678347</v>
      </c>
      <c r="I13" s="66" t="n">
        <f aca="false">I24/I6</f>
        <v>144.488743233119</v>
      </c>
      <c r="J13" s="66" t="n">
        <f aca="false">J24/J6</f>
        <v>147.779724625698</v>
      </c>
      <c r="K13" s="66" t="n">
        <f aca="false">K24/K6</f>
        <v>150.823172792706</v>
      </c>
    </row>
    <row r="14" customFormat="false" ht="15" hidden="false" customHeight="false" outlineLevel="0" collapsed="false">
      <c r="A14" s="4" t="s">
        <v>316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6" t="s">
        <v>220</v>
      </c>
      <c r="C15" s="64" t="n">
        <v>9454</v>
      </c>
      <c r="D15" s="64" t="n">
        <v>10464</v>
      </c>
      <c r="E15" s="64" t="n">
        <v>10101</v>
      </c>
      <c r="F15" s="65" t="n">
        <f aca="false">Interim!K6</f>
        <v>9195.88</v>
      </c>
      <c r="G15" s="58" t="n">
        <f aca="false">F15*(1+G16)</f>
        <v>9379.7976</v>
      </c>
      <c r="H15" s="58" t="n">
        <f aca="false">G15*(1+H16)</f>
        <v>9754.989504</v>
      </c>
      <c r="I15" s="58" t="n">
        <f aca="false">H15*(1+I16)</f>
        <v>10145.18908416</v>
      </c>
      <c r="J15" s="58" t="n">
        <f aca="false">I15*(1+J16)</f>
        <v>10550.9966475264</v>
      </c>
      <c r="K15" s="58" t="n">
        <f aca="false">J15*(1+K16)</f>
        <v>10920.2815301898</v>
      </c>
    </row>
    <row r="16" customFormat="false" ht="15" hidden="false" customHeight="false" outlineLevel="0" collapsed="false">
      <c r="A16" s="43" t="s">
        <v>313</v>
      </c>
      <c r="D16" s="50" t="n">
        <f aca="false">IFERROR(D15/C15-1,0)</f>
        <v>0.106833086524223</v>
      </c>
      <c r="E16" s="50" t="n">
        <f aca="false">IFERROR(E15/D15-1,0)</f>
        <v>-0.0346903669724771</v>
      </c>
      <c r="F16" s="51" t="n">
        <f aca="false">IFERROR(F15/E15-1,0)</f>
        <v>-0.0896069696069695</v>
      </c>
      <c r="G16" s="61" t="n">
        <f aca="false">Scenarios!C11</f>
        <v>0.02</v>
      </c>
      <c r="H16" s="61" t="n">
        <f aca="false">Scenarios!D11</f>
        <v>0.04</v>
      </c>
      <c r="I16" s="61" t="n">
        <f aca="false">Scenarios!E11</f>
        <v>0.04</v>
      </c>
      <c r="J16" s="61" t="n">
        <f aca="false">Scenarios!F11</f>
        <v>0.04</v>
      </c>
      <c r="K16" s="61" t="n">
        <f aca="false">Scenarios!G11</f>
        <v>0.035</v>
      </c>
    </row>
    <row r="17" customFormat="false" ht="15" hidden="false" customHeight="false" outlineLevel="0" collapsed="false">
      <c r="A17" s="43" t="s">
        <v>249</v>
      </c>
      <c r="C17" s="50" t="n">
        <f aca="false">IFERROR(C15/C24,0)</f>
        <v>0.294489611562782</v>
      </c>
      <c r="D17" s="50" t="n">
        <f aca="false">IFERROR(D15/D24,0)</f>
        <v>0.2700526478786</v>
      </c>
      <c r="E17" s="50" t="n">
        <f aca="false">IFERROR(E15/E24,0)</f>
        <v>0.241379310344828</v>
      </c>
      <c r="F17" s="51" t="n">
        <f aca="false">IFERROR(F15/F24,0)</f>
        <v>0.219563360232345</v>
      </c>
      <c r="G17" s="51" t="n">
        <f aca="false">IFERROR(G15/G24,0)</f>
        <v>0.213713729012836</v>
      </c>
      <c r="H17" s="51" t="n">
        <f aca="false">IFERROR(H15/H24,0)</f>
        <v>0.207730032370359</v>
      </c>
      <c r="I17" s="51" t="n">
        <f aca="false">IFERROR(I15/I24,0)</f>
        <v>0.202197775716117</v>
      </c>
      <c r="J17" s="51" t="n">
        <f aca="false">IFERROR(J15/J24,0)</f>
        <v>0.197694931234656</v>
      </c>
      <c r="K17" s="51" t="n">
        <f aca="false">IFERROR(K15/K24,0)</f>
        <v>0.193705661781216</v>
      </c>
    </row>
    <row r="18" customFormat="false" ht="15" hidden="false" customHeight="false" outlineLevel="0" collapsed="false">
      <c r="A18" s="6" t="s">
        <v>222</v>
      </c>
      <c r="C18" s="64" t="n">
        <v>10214</v>
      </c>
      <c r="D18" s="64" t="n">
        <v>13603</v>
      </c>
      <c r="E18" s="64" t="n">
        <v>14802</v>
      </c>
      <c r="F18" s="65" t="n">
        <f aca="false">Interim!K7</f>
        <v>13121</v>
      </c>
      <c r="G18" s="58" t="n">
        <f aca="false">F18*(1+G19)</f>
        <v>12596.16</v>
      </c>
      <c r="H18" s="58" t="n">
        <f aca="false">G18*(1+H19)</f>
        <v>13100.0064</v>
      </c>
      <c r="I18" s="58" t="n">
        <f aca="false">H18*(1+I19)</f>
        <v>13755.00672</v>
      </c>
      <c r="J18" s="58" t="n">
        <f aca="false">I18*(1+J19)</f>
        <v>14442.757056</v>
      </c>
      <c r="K18" s="58" t="n">
        <f aca="false">J18*(1+K19)</f>
        <v>15092.68112352</v>
      </c>
    </row>
    <row r="19" customFormat="false" ht="15" hidden="false" customHeight="false" outlineLevel="0" collapsed="false">
      <c r="A19" s="43" t="s">
        <v>313</v>
      </c>
      <c r="D19" s="50" t="n">
        <f aca="false">IFERROR(D18/C18-1,0)</f>
        <v>0.33179949089485</v>
      </c>
      <c r="E19" s="50" t="n">
        <f aca="false">IFERROR(E18/D18-1,0)</f>
        <v>0.0881423215467176</v>
      </c>
      <c r="F19" s="51" t="n">
        <f aca="false">IFERROR(F18/E18-1,0)</f>
        <v>-0.113565734360222</v>
      </c>
      <c r="G19" s="61" t="n">
        <f aca="false">Scenarios!C16</f>
        <v>-0.04</v>
      </c>
      <c r="H19" s="61" t="n">
        <f aca="false">Scenarios!D16</f>
        <v>0.04</v>
      </c>
      <c r="I19" s="61" t="n">
        <f aca="false">Scenarios!E16</f>
        <v>0.05</v>
      </c>
      <c r="J19" s="61" t="n">
        <f aca="false">Scenarios!F16</f>
        <v>0.05</v>
      </c>
      <c r="K19" s="61" t="n">
        <f aca="false">Scenarios!G16</f>
        <v>0.045</v>
      </c>
    </row>
    <row r="20" customFormat="false" ht="15" hidden="false" customHeight="false" outlineLevel="0" collapsed="false">
      <c r="A20" s="43" t="s">
        <v>249</v>
      </c>
      <c r="C20" s="50" t="n">
        <f aca="false">IFERROR(C18/C24,0)</f>
        <v>0.318163411519173</v>
      </c>
      <c r="D20" s="50" t="n">
        <f aca="false">IFERROR(D18/D24,0)</f>
        <v>0.351063280685455</v>
      </c>
      <c r="E20" s="50" t="n">
        <f aca="false">IFERROR(E18/E24,0)</f>
        <v>0.353717112337802</v>
      </c>
      <c r="F20" s="51" t="n">
        <f aca="false">IFERROR(F18/F24,0)</f>
        <v>0.313280604967507</v>
      </c>
      <c r="G20" s="51" t="n">
        <f aca="false">IFERROR(G18/G24,0)</f>
        <v>0.286996845736024</v>
      </c>
      <c r="H20" s="51" t="n">
        <f aca="false">IFERROR(H18/H24,0)</f>
        <v>0.278961320502505</v>
      </c>
      <c r="I20" s="51" t="n">
        <f aca="false">IFERROR(I18/I24,0)</f>
        <v>0.274142920419952</v>
      </c>
      <c r="J20" s="51" t="n">
        <f aca="false">IFERROR(J18/J24,0)</f>
        <v>0.270615180575776</v>
      </c>
      <c r="K20" s="51" t="n">
        <f aca="false">IFERROR(K18/K24,0)</f>
        <v>0.26771633835648</v>
      </c>
    </row>
    <row r="21" customFormat="false" ht="15" hidden="false" customHeight="false" outlineLevel="0" collapsed="false">
      <c r="A21" s="6" t="s">
        <v>317</v>
      </c>
      <c r="C21" s="64" t="n">
        <v>12435</v>
      </c>
      <c r="D21" s="64" t="n">
        <v>14681</v>
      </c>
      <c r="E21" s="64" t="n">
        <v>16944</v>
      </c>
      <c r="F21" s="65" t="n">
        <f aca="false">Interim!K8</f>
        <v>19565.7</v>
      </c>
      <c r="G21" s="58" t="n">
        <f aca="false">F21*(1+G22)</f>
        <v>21913.584</v>
      </c>
      <c r="H21" s="58" t="n">
        <f aca="false">G21*(1+H22)</f>
        <v>24104.9424</v>
      </c>
      <c r="I21" s="58" t="n">
        <f aca="false">H21*(1+I22)</f>
        <v>26274.387216</v>
      </c>
      <c r="J21" s="58" t="n">
        <f aca="false">I21*(1+J22)</f>
        <v>28376.33819328</v>
      </c>
      <c r="K21" s="58" t="n">
        <f aca="false">J21*(1+K22)</f>
        <v>30362.6818668096</v>
      </c>
    </row>
    <row r="22" customFormat="false" ht="15" hidden="false" customHeight="false" outlineLevel="0" collapsed="false">
      <c r="A22" s="43" t="s">
        <v>313</v>
      </c>
      <c r="D22" s="50" t="n">
        <f aca="false">IFERROR(D21/C21-1,0)</f>
        <v>0.180619219943707</v>
      </c>
      <c r="E22" s="50" t="n">
        <f aca="false">IFERROR(E21/D21-1,0)</f>
        <v>0.154144813023636</v>
      </c>
      <c r="F22" s="51" t="n">
        <f aca="false">IFERROR(F21/E21-1,0)</f>
        <v>0.154727337110481</v>
      </c>
      <c r="G22" s="61" t="n">
        <f aca="false">Scenarios!C21</f>
        <v>0.12</v>
      </c>
      <c r="H22" s="61" t="n">
        <f aca="false">Scenarios!D21</f>
        <v>0.1</v>
      </c>
      <c r="I22" s="61" t="n">
        <f aca="false">Scenarios!E21</f>
        <v>0.09</v>
      </c>
      <c r="J22" s="61" t="n">
        <f aca="false">Scenarios!F21</f>
        <v>0.08</v>
      </c>
      <c r="K22" s="61" t="n">
        <f aca="false">Scenarios!G21</f>
        <v>0.07</v>
      </c>
    </row>
    <row r="23" customFormat="false" ht="15" hidden="false" customHeight="false" outlineLevel="0" collapsed="false">
      <c r="A23" s="43" t="s">
        <v>249</v>
      </c>
      <c r="C23" s="50" t="n">
        <f aca="false">IFERROR(C21/C24,0)</f>
        <v>0.387346976918045</v>
      </c>
      <c r="D23" s="50" t="n">
        <f aca="false">IFERROR(D21/D24,0)</f>
        <v>0.378884071435945</v>
      </c>
      <c r="E23" s="50" t="n">
        <f aca="false">IFERROR(E21/E24,0)</f>
        <v>0.40490357731737</v>
      </c>
      <c r="F23" s="51" t="n">
        <f aca="false">IFERROR(F21/F24,0)</f>
        <v>0.467156034800148</v>
      </c>
      <c r="G23" s="51" t="n">
        <f aca="false">IFERROR(G21/G24,0)</f>
        <v>0.49928942525114</v>
      </c>
      <c r="H23" s="51" t="n">
        <f aca="false">IFERROR(H21/H24,0)</f>
        <v>0.513308647127136</v>
      </c>
      <c r="I23" s="51" t="n">
        <f aca="false">IFERROR(I21/I24,0)</f>
        <v>0.523659303863931</v>
      </c>
      <c r="J23" s="51" t="n">
        <f aca="false">IFERROR(J21/J24,0)</f>
        <v>0.531689888189569</v>
      </c>
      <c r="K23" s="51" t="n">
        <f aca="false">IFERROR(K21/K24,0)</f>
        <v>0.538577999862304</v>
      </c>
    </row>
    <row r="24" customFormat="false" ht="15" hidden="false" customHeight="false" outlineLevel="0" collapsed="false">
      <c r="A24" s="6" t="s">
        <v>226</v>
      </c>
      <c r="C24" s="47" t="n">
        <f aca="false">C15+C18+C21</f>
        <v>32103</v>
      </c>
      <c r="D24" s="47" t="n">
        <f aca="false">D15+D18+D21</f>
        <v>38748</v>
      </c>
      <c r="E24" s="47" t="n">
        <f aca="false">E15+E18+E21</f>
        <v>41847</v>
      </c>
      <c r="F24" s="48" t="n">
        <f aca="false">F15+F18+F21</f>
        <v>41882.58</v>
      </c>
      <c r="G24" s="48" t="n">
        <f aca="false">G15+G18+G21</f>
        <v>43889.5416</v>
      </c>
      <c r="H24" s="48" t="n">
        <f aca="false">H15+H18+H21</f>
        <v>46959.938304</v>
      </c>
      <c r="I24" s="48" t="n">
        <f aca="false">I15+I18+I21</f>
        <v>50174.58302016</v>
      </c>
      <c r="J24" s="48" t="n">
        <f aca="false">J15+J18+J21</f>
        <v>53370.0918968064</v>
      </c>
      <c r="K24" s="48" t="n">
        <f aca="false">K15+K18+K21</f>
        <v>56375.6445205194</v>
      </c>
    </row>
    <row r="25" customFormat="false" ht="15" hidden="false" customHeight="false" outlineLevel="0" collapsed="false">
      <c r="A25" s="43" t="s">
        <v>313</v>
      </c>
      <c r="D25" s="50" t="n">
        <f aca="false">IFERROR(D24/C24-1,0)</f>
        <v>0.206990000934492</v>
      </c>
      <c r="E25" s="50" t="n">
        <f aca="false">IFERROR(E24/D24-1,0)</f>
        <v>0.0799783214617529</v>
      </c>
      <c r="F25" s="51" t="n">
        <f aca="false">IFERROR(F24/E24-1,0)</f>
        <v>0.000850240160584992</v>
      </c>
      <c r="G25" s="51" t="n">
        <f aca="false">IFERROR(G24/F24-1,0)</f>
        <v>0.0479187671819643</v>
      </c>
      <c r="H25" s="51" t="n">
        <f aca="false">IFERROR(H24/G24-1,0)</f>
        <v>0.0699573655150685</v>
      </c>
      <c r="I25" s="51" t="n">
        <f aca="false">IFERROR(I24/H24-1,0)</f>
        <v>0.0684550455613819</v>
      </c>
      <c r="J25" s="51" t="n">
        <f aca="false">IFERROR(J24/I24-1,0)</f>
        <v>0.0636878013587567</v>
      </c>
      <c r="K25" s="51" t="n">
        <f aca="false">IFERROR(K24/J24-1,0)</f>
        <v>0.0563152978923926</v>
      </c>
    </row>
    <row r="26" customFormat="false" ht="15" hidden="false" customHeight="false" outlineLevel="0" collapsed="false">
      <c r="A26" s="9" t="s">
        <v>318</v>
      </c>
      <c r="C26" s="26" t="n">
        <f aca="false">C18+C21</f>
        <v>22649</v>
      </c>
      <c r="D26" s="26" t="n">
        <f aca="false">D18+D21</f>
        <v>28284</v>
      </c>
      <c r="E26" s="26" t="n">
        <f aca="false">E18+E21</f>
        <v>31746</v>
      </c>
      <c r="F26" s="46" t="n">
        <f aca="false">F18+F21</f>
        <v>32686.7</v>
      </c>
      <c r="G26" s="46" t="n">
        <f aca="false">G18+G21</f>
        <v>34509.744</v>
      </c>
      <c r="H26" s="46" t="n">
        <f aca="false">H18+H21</f>
        <v>37204.9488</v>
      </c>
      <c r="I26" s="46" t="n">
        <f aca="false">I18+I21</f>
        <v>40029.393936</v>
      </c>
      <c r="J26" s="46" t="n">
        <f aca="false">J18+J21</f>
        <v>42819.09524928</v>
      </c>
      <c r="K26" s="46" t="n">
        <f aca="false">K18+K21</f>
        <v>45455.3629903296</v>
      </c>
    </row>
    <row r="27" customFormat="false" ht="15" hidden="false" customHeight="false" outlineLevel="0" collapsed="false">
      <c r="A27" s="43" t="s">
        <v>313</v>
      </c>
      <c r="D27" s="50" t="n">
        <f aca="false">IFERROR(D26/C26-1,0)</f>
        <v>0.24879685637335</v>
      </c>
      <c r="E27" s="50" t="n">
        <f aca="false">IFERROR(E26/D26-1,0)</f>
        <v>0.12240135765804</v>
      </c>
      <c r="F27" s="51" t="n">
        <f aca="false">IFERROR(F26/E26-1,0)</f>
        <v>0.0296320796320795</v>
      </c>
      <c r="G27" s="51" t="n">
        <f aca="false">IFERROR(G26/F26-1,0)</f>
        <v>0.0557732655789665</v>
      </c>
      <c r="H27" s="51" t="n">
        <f aca="false">IFERROR(H26/G26-1,0)</f>
        <v>0.0780998201551422</v>
      </c>
      <c r="I27" s="51" t="n">
        <f aca="false">IFERROR(I26/H26-1,0)</f>
        <v>0.0759158452598114</v>
      </c>
      <c r="J27" s="51" t="n">
        <f aca="false">IFERROR(J26/I26-1,0)</f>
        <v>0.0696913202768006</v>
      </c>
      <c r="K27" s="51" t="n">
        <f aca="false">IFERROR(K26/J26-1,0)</f>
        <v>0.0615675722642441</v>
      </c>
    </row>
    <row r="28" customFormat="false" ht="15" hidden="false" customHeight="false" outlineLevel="0" collapsed="false">
      <c r="A28" s="4" t="s">
        <v>319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" hidden="false" customHeight="false" outlineLevel="0" collapsed="false">
      <c r="A29" s="43" t="s">
        <v>320</v>
      </c>
      <c r="C29" s="50" t="n">
        <f aca="false">IFERROR(C30/C24,0)</f>
        <v>0.0270379715291406</v>
      </c>
      <c r="D29" s="50" t="n">
        <f aca="false">IFERROR(D30/D24,0)</f>
        <v>0.0876690409827604</v>
      </c>
      <c r="E29" s="50" t="n">
        <f aca="false">IFERROR(E30/E24,0)</f>
        <v>0.113269768442182</v>
      </c>
      <c r="F29" s="51" t="n">
        <f aca="false">IFERROR(F30/F24,0)</f>
        <v>0.134591954459348</v>
      </c>
      <c r="G29" s="61" t="n">
        <f aca="false">Scenarios!C26</f>
        <v>0.145</v>
      </c>
      <c r="H29" s="61" t="n">
        <f aca="false">Scenarios!D26</f>
        <v>0.15</v>
      </c>
      <c r="I29" s="61" t="n">
        <f aca="false">Scenarios!E26</f>
        <v>0.155</v>
      </c>
      <c r="J29" s="61" t="n">
        <f aca="false">Scenarios!F26</f>
        <v>0.16</v>
      </c>
      <c r="K29" s="61" t="n">
        <f aca="false">Scenarios!G26</f>
        <v>0.163</v>
      </c>
    </row>
    <row r="30" customFormat="false" ht="15" hidden="false" customHeight="false" outlineLevel="0" collapsed="false">
      <c r="A30" s="6" t="s">
        <v>321</v>
      </c>
      <c r="C30" s="64" t="n">
        <v>868</v>
      </c>
      <c r="D30" s="64" t="n">
        <v>3397</v>
      </c>
      <c r="E30" s="64" t="n">
        <v>4740</v>
      </c>
      <c r="F30" s="65" t="n">
        <f aca="false">Interim!K16</f>
        <v>5637.0583</v>
      </c>
      <c r="G30" s="58" t="n">
        <f aca="false">G24*G29</f>
        <v>6363.983532</v>
      </c>
      <c r="H30" s="58" t="n">
        <f aca="false">H24*H29</f>
        <v>7043.9907456</v>
      </c>
      <c r="I30" s="58" t="n">
        <f aca="false">I24*I29</f>
        <v>7777.0603681248</v>
      </c>
      <c r="J30" s="58" t="n">
        <f aca="false">J24*J29</f>
        <v>8539.21470348903</v>
      </c>
      <c r="K30" s="58" t="n">
        <f aca="false">K24*K29</f>
        <v>9189.23005684467</v>
      </c>
    </row>
    <row r="31" customFormat="false" ht="15" hidden="false" customHeight="false" outlineLevel="0" collapsed="false">
      <c r="A31" s="43" t="s">
        <v>313</v>
      </c>
      <c r="D31" s="50" t="n">
        <f aca="false">IFERROR(D30/C30-1,0)</f>
        <v>2.91359447004608</v>
      </c>
      <c r="E31" s="50" t="n">
        <f aca="false">IFERROR(E30/D30-1,0)</f>
        <v>0.395348837209302</v>
      </c>
      <c r="F31" s="51" t="n">
        <f aca="false">IFERROR(F30/E30-1,0)</f>
        <v>0.189252805907173</v>
      </c>
      <c r="G31" s="51" t="n">
        <f aca="false">IFERROR(G30/F30-1,0)</f>
        <v>0.128954712425096</v>
      </c>
      <c r="H31" s="51" t="n">
        <f aca="false">IFERROR(H30/G30-1,0)</f>
        <v>0.106852447084554</v>
      </c>
      <c r="I31" s="51" t="n">
        <f aca="false">IFERROR(I30/H30-1,0)</f>
        <v>0.104070213746761</v>
      </c>
      <c r="J31" s="51" t="n">
        <f aca="false">IFERROR(J30/I30-1,0)</f>
        <v>0.0980003110800072</v>
      </c>
      <c r="K31" s="51" t="n">
        <f aca="false">IFERROR(K30/J30-1,0)</f>
        <v>0.076121209727875</v>
      </c>
    </row>
    <row r="32" customFormat="false" ht="15" hidden="false" customHeight="false" outlineLevel="0" collapsed="false">
      <c r="A32" s="6" t="s">
        <v>322</v>
      </c>
      <c r="C32" s="64" t="n">
        <v>31235</v>
      </c>
      <c r="D32" s="64" t="n">
        <v>35351</v>
      </c>
      <c r="E32" s="64" t="n">
        <v>37107</v>
      </c>
      <c r="F32" s="65" t="n">
        <f aca="false">Interim!K15</f>
        <v>36245.5217</v>
      </c>
      <c r="G32" s="58" t="n">
        <f aca="false">G24-G30</f>
        <v>37525.558068</v>
      </c>
      <c r="H32" s="58" t="n">
        <f aca="false">H24-H30</f>
        <v>39915.9475584</v>
      </c>
      <c r="I32" s="58" t="n">
        <f aca="false">I24-I30</f>
        <v>42397.5226520352</v>
      </c>
      <c r="J32" s="58" t="n">
        <f aca="false">J24-J30</f>
        <v>44830.8771933174</v>
      </c>
      <c r="K32" s="58" t="n">
        <f aca="false">K24-K30</f>
        <v>47186.4144636748</v>
      </c>
    </row>
    <row r="33" customFormat="false" ht="15" hidden="false" customHeight="false" outlineLevel="0" collapsed="false">
      <c r="A33" s="43" t="s">
        <v>313</v>
      </c>
      <c r="D33" s="50" t="n">
        <f aca="false">IFERROR(D32/C32-1,0)</f>
        <v>0.131775252121018</v>
      </c>
      <c r="E33" s="50" t="n">
        <f aca="false">IFERROR(E32/D32-1,0)</f>
        <v>0.0496732765692625</v>
      </c>
      <c r="F33" s="51" t="n">
        <f aca="false">IFERROR(F32/E32-1,0)</f>
        <v>-0.0232160589646159</v>
      </c>
      <c r="G33" s="51" t="n">
        <f aca="false">IFERROR(G32/F32-1,0)</f>
        <v>0.0353157109613351</v>
      </c>
      <c r="H33" s="51" t="n">
        <f aca="false">IFERROR(H32/G32-1,0)</f>
        <v>0.0637003048980214</v>
      </c>
      <c r="I33" s="51" t="n">
        <f aca="false">IFERROR(I32/H32-1,0)</f>
        <v>0.062170015881609</v>
      </c>
      <c r="J33" s="51" t="n">
        <f aca="false">IFERROR(J32/I32-1,0)</f>
        <v>0.0573937906998294</v>
      </c>
      <c r="K33" s="51" t="n">
        <f aca="false">IFERROR(K32/J32-1,0)</f>
        <v>0.0525427432570627</v>
      </c>
    </row>
    <row r="34" customFormat="false" ht="15" hidden="false" customHeight="false" outlineLevel="0" collapsed="false">
      <c r="A34" s="43" t="s">
        <v>249</v>
      </c>
      <c r="C34" s="50" t="n">
        <f aca="false">IFERROR(C32/C24,0)</f>
        <v>0.972962028470859</v>
      </c>
      <c r="D34" s="50" t="n">
        <f aca="false">IFERROR(D32/D24,0)</f>
        <v>0.91233095901724</v>
      </c>
      <c r="E34" s="50" t="n">
        <f aca="false">IFERROR(E32/E24,0)</f>
        <v>0.886730231557818</v>
      </c>
      <c r="F34" s="51" t="n">
        <f aca="false">IFERROR(F32/F24,0)</f>
        <v>0.865408045540652</v>
      </c>
      <c r="G34" s="51" t="n">
        <f aca="false">IFERROR(G32/G24,0)</f>
        <v>0.855</v>
      </c>
      <c r="H34" s="51" t="n">
        <f aca="false">IFERROR(H32/H24,0)</f>
        <v>0.85</v>
      </c>
      <c r="I34" s="51" t="n">
        <f aca="false">IFERROR(I32/I24,0)</f>
        <v>0.845</v>
      </c>
      <c r="J34" s="51" t="n">
        <f aca="false">IFERROR(J32/J24,0)</f>
        <v>0.84</v>
      </c>
      <c r="K34" s="51" t="n">
        <f aca="false">IFERROR(K32/K24,0)</f>
        <v>0.837</v>
      </c>
    </row>
    <row r="35" customFormat="false" ht="15" hidden="false" customHeight="false" outlineLevel="0" collapsed="false">
      <c r="A35" s="6" t="s">
        <v>226</v>
      </c>
      <c r="C35" s="47" t="n">
        <f aca="false">C32+C30</f>
        <v>32103</v>
      </c>
      <c r="D35" s="47" t="n">
        <f aca="false">D32+D30</f>
        <v>38748</v>
      </c>
      <c r="E35" s="47" t="n">
        <f aca="false">E32+E30</f>
        <v>41847</v>
      </c>
      <c r="F35" s="48" t="n">
        <f aca="false">F32+F30</f>
        <v>41882.58</v>
      </c>
      <c r="G35" s="48" t="n">
        <f aca="false">G32+G30</f>
        <v>43889.5416</v>
      </c>
      <c r="H35" s="48" t="n">
        <f aca="false">H32+H30</f>
        <v>46959.938304</v>
      </c>
      <c r="I35" s="48" t="n">
        <f aca="false">I32+I30</f>
        <v>50174.58302016</v>
      </c>
      <c r="J35" s="48" t="n">
        <f aca="false">J32+J30</f>
        <v>53370.0918968064</v>
      </c>
      <c r="K35" s="48" t="n">
        <f aca="false">K32+K30</f>
        <v>56375.6445205194</v>
      </c>
    </row>
    <row r="36" customFormat="false" ht="15" hidden="false" customHeight="false" outlineLevel="0" collapsed="false">
      <c r="A36" s="9" t="s">
        <v>323</v>
      </c>
      <c r="C36" s="25" t="n">
        <v>0.25</v>
      </c>
      <c r="D36" s="25" t="n">
        <v>0.25</v>
      </c>
      <c r="E36" s="25" t="n">
        <v>0.25</v>
      </c>
      <c r="F36" s="67" t="n">
        <v>0.25</v>
      </c>
      <c r="G36" s="67" t="n">
        <v>0.25</v>
      </c>
      <c r="H36" s="67" t="n">
        <v>0.25</v>
      </c>
      <c r="I36" s="67" t="n">
        <v>0.25</v>
      </c>
      <c r="J36" s="67" t="n">
        <v>0.25</v>
      </c>
      <c r="K36" s="67" t="n">
        <v>0.25</v>
      </c>
      <c r="M36" s="19" t="s">
        <v>324</v>
      </c>
    </row>
    <row r="37" customFormat="false" ht="15" hidden="false" customHeight="false" outlineLevel="0" collapsed="false">
      <c r="A37" s="43" t="s">
        <v>325</v>
      </c>
      <c r="C37" s="68" t="n">
        <f aca="false">C30/C36</f>
        <v>3472</v>
      </c>
      <c r="D37" s="68" t="n">
        <f aca="false">D30/D36</f>
        <v>13588</v>
      </c>
      <c r="E37" s="68" t="n">
        <f aca="false">E30/E36</f>
        <v>18960</v>
      </c>
      <c r="F37" s="69" t="n">
        <f aca="false">F30/F36</f>
        <v>22548.2332</v>
      </c>
      <c r="G37" s="69" t="n">
        <f aca="false">G30/G36</f>
        <v>25455.934128</v>
      </c>
      <c r="H37" s="69" t="n">
        <f aca="false">H30/H36</f>
        <v>28175.9629824</v>
      </c>
      <c r="I37" s="69" t="n">
        <f aca="false">I30/I36</f>
        <v>31108.2414724992</v>
      </c>
      <c r="J37" s="69" t="n">
        <f aca="false">J30/J36</f>
        <v>34156.8588139561</v>
      </c>
      <c r="K37" s="69" t="n">
        <f aca="false">K30/K36</f>
        <v>36756.9202273787</v>
      </c>
    </row>
    <row r="38" customFormat="false" ht="15" hidden="false" customHeight="false" outlineLevel="0" collapsed="false">
      <c r="A38" s="43" t="s">
        <v>326</v>
      </c>
      <c r="C38" s="68" t="n">
        <f aca="false">C32+C37</f>
        <v>34707</v>
      </c>
      <c r="D38" s="68" t="n">
        <f aca="false">D32+D37</f>
        <v>48939</v>
      </c>
      <c r="E38" s="68" t="n">
        <f aca="false">E32+E37</f>
        <v>56067</v>
      </c>
      <c r="F38" s="69" t="n">
        <f aca="false">F32+F37</f>
        <v>58793.7549</v>
      </c>
      <c r="G38" s="69" t="n">
        <f aca="false">G32+G37</f>
        <v>62981.492196</v>
      </c>
      <c r="H38" s="69" t="n">
        <f aca="false">H32+H37</f>
        <v>68091.9105408</v>
      </c>
      <c r="I38" s="69" t="n">
        <f aca="false">I32+I37</f>
        <v>73505.7641245344</v>
      </c>
      <c r="J38" s="69" t="n">
        <f aca="false">J32+J37</f>
        <v>78987.7360072735</v>
      </c>
      <c r="K38" s="69" t="n">
        <f aca="false">K32+K37</f>
        <v>83943.3346910534</v>
      </c>
    </row>
    <row r="39" customFormat="false" ht="15" hidden="false" customHeight="false" outlineLevel="0" collapsed="false">
      <c r="A39" s="43" t="s">
        <v>313</v>
      </c>
      <c r="D39" s="50" t="n">
        <f aca="false">IFERROR(D38/C38-1,0)</f>
        <v>0.410061370905005</v>
      </c>
      <c r="E39" s="50" t="n">
        <f aca="false">IFERROR(E38/D38-1,0)</f>
        <v>0.145650708024275</v>
      </c>
      <c r="F39" s="51" t="n">
        <f aca="false">IFERROR(F38/E38-1,0)</f>
        <v>0.0486338648402804</v>
      </c>
      <c r="G39" s="51" t="n">
        <f aca="false">IFERROR(G38/F38-1,0)</f>
        <v>0.0712275870646935</v>
      </c>
      <c r="H39" s="51" t="n">
        <f aca="false">IFERROR(H38/G38-1,0)</f>
        <v>0.0811415888479787</v>
      </c>
      <c r="I39" s="51" t="n">
        <f aca="false">IFERROR(I38/H38-1,0)</f>
        <v>0.079508028791327</v>
      </c>
      <c r="J39" s="51" t="n">
        <f aca="false">IFERROR(J38/I38-1,0)</f>
        <v>0.0745788027378569</v>
      </c>
      <c r="K39" s="51" t="n">
        <f aca="false">IFERROR(K38/J38-1,0)</f>
        <v>0.0627388368660624</v>
      </c>
    </row>
    <row r="40" customFormat="false" ht="15" hidden="false" customHeight="false" outlineLevel="0" collapsed="false">
      <c r="A40" s="4" t="s">
        <v>327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5" hidden="false" customHeight="false" outlineLevel="0" collapsed="false">
      <c r="A41" s="43" t="s">
        <v>328</v>
      </c>
      <c r="C41" s="50" t="n">
        <f aca="false">IFERROR(C42/C24,0)</f>
        <v>0.68778618820671</v>
      </c>
      <c r="D41" s="50" t="n">
        <f aca="false">IFERROR(D42/D24,0)</f>
        <v>0.646949519975225</v>
      </c>
      <c r="E41" s="50" t="n">
        <f aca="false">IFERROR(E42/E24,0)</f>
        <v>0.638205845102397</v>
      </c>
      <c r="F41" s="70" t="n">
        <v>0.615</v>
      </c>
      <c r="G41" s="70" t="n">
        <v>0.61</v>
      </c>
      <c r="H41" s="70" t="n">
        <v>0.605</v>
      </c>
      <c r="I41" s="70" t="n">
        <v>0.6</v>
      </c>
      <c r="J41" s="70" t="n">
        <v>0.595</v>
      </c>
      <c r="K41" s="70" t="n">
        <v>0.59</v>
      </c>
      <c r="M41" s="19" t="s">
        <v>329</v>
      </c>
    </row>
    <row r="42" customFormat="false" ht="15" hidden="false" customHeight="false" outlineLevel="0" collapsed="false">
      <c r="A42" s="6" t="s">
        <v>330</v>
      </c>
      <c r="C42" s="64" t="n">
        <v>22080</v>
      </c>
      <c r="D42" s="64" t="n">
        <v>25068</v>
      </c>
      <c r="E42" s="64" t="n">
        <v>26707</v>
      </c>
      <c r="F42" s="58" t="n">
        <f aca="false">F24*F41</f>
        <v>25757.7867</v>
      </c>
      <c r="G42" s="58" t="n">
        <f aca="false">G24*G41</f>
        <v>26772.620376</v>
      </c>
      <c r="H42" s="58" t="n">
        <f aca="false">H24*H41</f>
        <v>28410.76267392</v>
      </c>
      <c r="I42" s="58" t="n">
        <f aca="false">I24*I41</f>
        <v>30104.749812096</v>
      </c>
      <c r="J42" s="58" t="n">
        <f aca="false">J24*J41</f>
        <v>31755.2046785998</v>
      </c>
      <c r="K42" s="58" t="n">
        <f aca="false">K24*K41</f>
        <v>33261.6302671065</v>
      </c>
    </row>
    <row r="43" customFormat="false" ht="15" hidden="false" customHeight="false" outlineLevel="0" collapsed="false">
      <c r="A43" s="43" t="s">
        <v>313</v>
      </c>
      <c r="D43" s="50" t="n">
        <f aca="false">IFERROR(D42/C42-1,0)</f>
        <v>0.135326086956522</v>
      </c>
      <c r="E43" s="50" t="n">
        <f aca="false">IFERROR(E42/D42-1,0)</f>
        <v>0.0653821605233764</v>
      </c>
      <c r="F43" s="51" t="n">
        <f aca="false">IFERROR(F42/E42-1,0)</f>
        <v>-0.0355417418654285</v>
      </c>
      <c r="G43" s="51" t="n">
        <f aca="false">IFERROR(G42/F42-1,0)</f>
        <v>0.0393991024081273</v>
      </c>
      <c r="H43" s="51" t="n">
        <f aca="false">IFERROR(H42/G42-1,0)</f>
        <v>0.061187223174781</v>
      </c>
      <c r="I43" s="51" t="n">
        <f aca="false">IFERROR(I42/H42-1,0)</f>
        <v>0.0596248385732712</v>
      </c>
      <c r="J43" s="51" t="n">
        <f aca="false">IFERROR(J42/I42-1,0)</f>
        <v>0.0548237363474338</v>
      </c>
      <c r="K43" s="51" t="n">
        <f aca="false">IFERROR(K42/J42-1,0)</f>
        <v>0.0474386987504398</v>
      </c>
    </row>
    <row r="44" customFormat="false" ht="15" hidden="false" customHeight="false" outlineLevel="0" collapsed="false">
      <c r="A44" s="6" t="s">
        <v>331</v>
      </c>
      <c r="C44" s="64" t="n">
        <v>10023</v>
      </c>
      <c r="D44" s="64" t="n">
        <v>13680</v>
      </c>
      <c r="E44" s="64" t="n">
        <v>15140</v>
      </c>
      <c r="F44" s="58" t="n">
        <f aca="false">F24-F42</f>
        <v>16124.7933</v>
      </c>
      <c r="G44" s="58" t="n">
        <f aca="false">G24-G42</f>
        <v>17116.921224</v>
      </c>
      <c r="H44" s="58" t="n">
        <f aca="false">H24-H42</f>
        <v>18549.17563008</v>
      </c>
      <c r="I44" s="58" t="n">
        <f aca="false">I24-I42</f>
        <v>20069.833208064</v>
      </c>
      <c r="J44" s="58" t="n">
        <f aca="false">J24-J42</f>
        <v>21614.8872182066</v>
      </c>
      <c r="K44" s="58" t="n">
        <f aca="false">K24-K42</f>
        <v>23114.014253413</v>
      </c>
    </row>
    <row r="45" customFormat="false" ht="15" hidden="false" customHeight="false" outlineLevel="0" collapsed="false">
      <c r="A45" s="43" t="s">
        <v>313</v>
      </c>
      <c r="D45" s="50" t="n">
        <f aca="false">IFERROR(D44/C44-1,0)</f>
        <v>0.364860820113738</v>
      </c>
      <c r="E45" s="50" t="n">
        <f aca="false">IFERROR(E44/D44-1,0)</f>
        <v>0.10672514619883</v>
      </c>
      <c r="F45" s="51" t="n">
        <f aca="false">IFERROR(F44/E44-1,0)</f>
        <v>0.065045792602378</v>
      </c>
      <c r="G45" s="51" t="n">
        <f aca="false">IFERROR(G44/F44-1,0)</f>
        <v>0.061528101820691</v>
      </c>
      <c r="H45" s="51" t="n">
        <f aca="false">IFERROR(H44/G44-1,0)</f>
        <v>0.0836747676370566</v>
      </c>
      <c r="I45" s="51" t="n">
        <f aca="false">IFERROR(I44/H44-1,0)</f>
        <v>0.0819797929735513</v>
      </c>
      <c r="J45" s="51" t="n">
        <f aca="false">IFERROR(J44/I44-1,0)</f>
        <v>0.0769838988757414</v>
      </c>
      <c r="K45" s="51" t="n">
        <f aca="false">IFERROR(K44/J44-1,0)</f>
        <v>0.0693562274960025</v>
      </c>
    </row>
    <row r="46" customFormat="false" ht="15" hidden="false" customHeight="false" outlineLevel="0" collapsed="false">
      <c r="A46" s="43" t="s">
        <v>249</v>
      </c>
      <c r="C46" s="50" t="n">
        <f aca="false">IFERROR(C44/C24,0)</f>
        <v>0.31221381179329</v>
      </c>
      <c r="D46" s="50" t="n">
        <f aca="false">IFERROR(D44/D24,0)</f>
        <v>0.353050480024775</v>
      </c>
      <c r="E46" s="50" t="n">
        <f aca="false">IFERROR(E44/E24,0)</f>
        <v>0.361794154897603</v>
      </c>
      <c r="F46" s="51" t="n">
        <f aca="false">IFERROR(F44/F24,0)</f>
        <v>0.385</v>
      </c>
      <c r="G46" s="51" t="n">
        <f aca="false">IFERROR(G44/G24,0)</f>
        <v>0.39</v>
      </c>
      <c r="H46" s="51" t="n">
        <f aca="false">IFERROR(H44/H24,0)</f>
        <v>0.395</v>
      </c>
      <c r="I46" s="51" t="n">
        <f aca="false">IFERROR(I44/I24,0)</f>
        <v>0.4</v>
      </c>
      <c r="J46" s="51" t="n">
        <f aca="false">IFERROR(J44/J24,0)</f>
        <v>0.405</v>
      </c>
      <c r="K46" s="51" t="n">
        <f aca="false">IFERROR(K44/K24,0)</f>
        <v>0.41</v>
      </c>
    </row>
    <row r="47" customFormat="false" ht="15" hidden="false" customHeight="false" outlineLevel="0" collapsed="false">
      <c r="A47" s="6" t="s">
        <v>226</v>
      </c>
      <c r="C47" s="47" t="n">
        <f aca="false">C42+C44</f>
        <v>32103</v>
      </c>
      <c r="D47" s="47" t="n">
        <f aca="false">D42+D44</f>
        <v>38748</v>
      </c>
      <c r="E47" s="47" t="n">
        <f aca="false">E42+E44</f>
        <v>41847</v>
      </c>
      <c r="F47" s="48" t="n">
        <f aca="false">F42+F44</f>
        <v>41882.58</v>
      </c>
      <c r="G47" s="48" t="n">
        <f aca="false">G42+G44</f>
        <v>43889.5416</v>
      </c>
      <c r="H47" s="48" t="n">
        <f aca="false">H42+H44</f>
        <v>46959.938304</v>
      </c>
      <c r="I47" s="48" t="n">
        <f aca="false">I42+I44</f>
        <v>50174.58302016</v>
      </c>
      <c r="J47" s="48" t="n">
        <f aca="false">J42+J44</f>
        <v>53370.0918968064</v>
      </c>
      <c r="K47" s="48" t="n">
        <f aca="false">K42+K44</f>
        <v>56375.6445205194</v>
      </c>
    </row>
    <row r="48" customFormat="false" ht="15" hidden="false" customHeight="false" outlineLevel="0" collapsed="false">
      <c r="A48" s="4" t="s">
        <v>332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customFormat="false" ht="15" hidden="false" customHeight="false" outlineLevel="0" collapsed="false">
      <c r="A49" s="9" t="s">
        <v>333</v>
      </c>
      <c r="C49" s="26" t="n">
        <f aca="false">C24-C35</f>
        <v>0</v>
      </c>
      <c r="D49" s="26" t="n">
        <f aca="false">D24-D35</f>
        <v>0</v>
      </c>
      <c r="E49" s="26" t="n">
        <f aca="false">E24-E35</f>
        <v>0</v>
      </c>
      <c r="F49" s="46" t="n">
        <f aca="false">F24-F35</f>
        <v>0</v>
      </c>
      <c r="G49" s="46" t="n">
        <f aca="false">G24-G35</f>
        <v>0</v>
      </c>
      <c r="H49" s="46" t="n">
        <f aca="false">H24-H35</f>
        <v>0</v>
      </c>
      <c r="I49" s="46" t="n">
        <f aca="false">I24-I35</f>
        <v>0</v>
      </c>
      <c r="J49" s="46" t="n">
        <f aca="false">J24-J35</f>
        <v>0</v>
      </c>
      <c r="K49" s="46" t="n">
        <f aca="false">K24-K35</f>
        <v>0</v>
      </c>
    </row>
    <row r="50" customFormat="false" ht="15" hidden="false" customHeight="false" outlineLevel="0" collapsed="false">
      <c r="A50" s="9" t="s">
        <v>334</v>
      </c>
      <c r="C50" s="26" t="n">
        <f aca="false">C24-C47</f>
        <v>0</v>
      </c>
      <c r="D50" s="26" t="n">
        <f aca="false">D24-D47</f>
        <v>0</v>
      </c>
      <c r="E50" s="26" t="n">
        <f aca="false">E24-E47</f>
        <v>0</v>
      </c>
      <c r="F50" s="46" t="n">
        <f aca="false">F24-F47</f>
        <v>0</v>
      </c>
      <c r="G50" s="46" t="n">
        <f aca="false">G24-G47</f>
        <v>0</v>
      </c>
      <c r="H50" s="46" t="n">
        <f aca="false">H24-H47</f>
        <v>0</v>
      </c>
      <c r="I50" s="46" t="n">
        <f aca="false">I24-I47</f>
        <v>0</v>
      </c>
      <c r="J50" s="46" t="n">
        <f aca="false">J24-J47</f>
        <v>0</v>
      </c>
      <c r="K50" s="46" t="n">
        <f aca="false">K24-K47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2" min="3" style="0" width="11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207</v>
      </c>
      <c r="C4" s="44" t="s">
        <v>308</v>
      </c>
      <c r="D4" s="44" t="s">
        <v>309</v>
      </c>
      <c r="E4" s="44" t="s">
        <v>212</v>
      </c>
      <c r="F4" s="44" t="s">
        <v>217</v>
      </c>
      <c r="G4" s="44" t="s">
        <v>158</v>
      </c>
      <c r="H4" s="44" t="s">
        <v>159</v>
      </c>
      <c r="I4" s="44" t="s">
        <v>160</v>
      </c>
      <c r="J4" s="44" t="s">
        <v>161</v>
      </c>
      <c r="K4" s="44" t="s">
        <v>162</v>
      </c>
    </row>
    <row r="5" customFormat="false" ht="15" hidden="false" customHeight="false" outlineLevel="0" collapsed="false">
      <c r="A5" s="4" t="s">
        <v>337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6" t="s">
        <v>338</v>
      </c>
      <c r="C6" s="71" t="n">
        <f aca="false">'Revenue Model'!C24</f>
        <v>32103</v>
      </c>
      <c r="D6" s="71" t="n">
        <f aca="false">'Revenue Model'!D24</f>
        <v>38748</v>
      </c>
      <c r="E6" s="71" t="n">
        <f aca="false">'Revenue Model'!E24</f>
        <v>41847</v>
      </c>
      <c r="F6" s="65" t="n">
        <f aca="false">'Revenue Model'!F24</f>
        <v>41882.58</v>
      </c>
      <c r="G6" s="65" t="n">
        <f aca="false">'Revenue Model'!G24</f>
        <v>43889.5416</v>
      </c>
      <c r="H6" s="65" t="n">
        <f aca="false">'Revenue Model'!H24</f>
        <v>46959.938304</v>
      </c>
      <c r="I6" s="65" t="n">
        <f aca="false">'Revenue Model'!I24</f>
        <v>50174.58302016</v>
      </c>
      <c r="J6" s="65" t="n">
        <f aca="false">'Revenue Model'!J24</f>
        <v>53370.0918968064</v>
      </c>
      <c r="K6" s="65" t="n">
        <f aca="false">'Revenue Model'!K24</f>
        <v>56375.6445205194</v>
      </c>
    </row>
    <row r="7" customFormat="false" ht="15" hidden="false" customHeight="false" outlineLevel="0" collapsed="false">
      <c r="A7" s="43" t="s">
        <v>313</v>
      </c>
      <c r="D7" s="50" t="n">
        <f aca="false">IFERROR(D6/C6-1,0)</f>
        <v>0.206990000934492</v>
      </c>
      <c r="E7" s="50" t="n">
        <f aca="false">IFERROR(E6/D6-1,0)</f>
        <v>0.0799783214617529</v>
      </c>
      <c r="F7" s="51" t="n">
        <f aca="false">IFERROR(F6/E6-1,0)</f>
        <v>0.000850240160584992</v>
      </c>
      <c r="G7" s="51" t="n">
        <f aca="false">IFERROR(G6/F6-1,0)</f>
        <v>0.0479187671819643</v>
      </c>
      <c r="H7" s="51" t="n">
        <f aca="false">IFERROR(H6/G6-1,0)</f>
        <v>0.0699573655150685</v>
      </c>
      <c r="I7" s="51" t="n">
        <f aca="false">IFERROR(I6/H6-1,0)</f>
        <v>0.0684550455613819</v>
      </c>
      <c r="J7" s="51" t="n">
        <f aca="false">IFERROR(J6/I6-1,0)</f>
        <v>0.0636878013587567</v>
      </c>
      <c r="K7" s="51" t="n">
        <f aca="false">IFERROR(K6/J6-1,0)</f>
        <v>0.0563152978923926</v>
      </c>
    </row>
    <row r="8" customFormat="false" ht="15" hidden="false" customHeight="false" outlineLevel="0" collapsed="false">
      <c r="A8" s="72" t="s">
        <v>339</v>
      </c>
      <c r="C8" s="27" t="n">
        <f aca="false">'Revenue Model'!C32</f>
        <v>31235</v>
      </c>
      <c r="D8" s="27" t="n">
        <f aca="false">'Revenue Model'!D32</f>
        <v>35351</v>
      </c>
      <c r="E8" s="27" t="n">
        <f aca="false">'Revenue Model'!E32</f>
        <v>37107</v>
      </c>
      <c r="F8" s="59" t="n">
        <f aca="false">'Revenue Model'!F32</f>
        <v>36245.5217</v>
      </c>
      <c r="G8" s="59" t="n">
        <f aca="false">'Revenue Model'!G32</f>
        <v>37525.558068</v>
      </c>
      <c r="H8" s="59" t="n">
        <f aca="false">'Revenue Model'!H32</f>
        <v>39915.9475584</v>
      </c>
      <c r="I8" s="59" t="n">
        <f aca="false">'Revenue Model'!I32</f>
        <v>42397.5226520352</v>
      </c>
      <c r="J8" s="59" t="n">
        <f aca="false">'Revenue Model'!J32</f>
        <v>44830.8771933174</v>
      </c>
      <c r="K8" s="59" t="n">
        <f aca="false">'Revenue Model'!K32</f>
        <v>47186.4144636748</v>
      </c>
    </row>
    <row r="9" customFormat="false" ht="15" hidden="false" customHeight="false" outlineLevel="0" collapsed="false">
      <c r="A9" s="72" t="s">
        <v>340</v>
      </c>
      <c r="C9" s="27" t="n">
        <f aca="false">'Revenue Model'!C30</f>
        <v>868</v>
      </c>
      <c r="D9" s="27" t="n">
        <f aca="false">'Revenue Model'!D30</f>
        <v>3397</v>
      </c>
      <c r="E9" s="27" t="n">
        <f aca="false">'Revenue Model'!E30</f>
        <v>4740</v>
      </c>
      <c r="F9" s="59" t="n">
        <f aca="false">'Revenue Model'!F30</f>
        <v>5637.0583</v>
      </c>
      <c r="G9" s="59" t="n">
        <f aca="false">'Revenue Model'!G30</f>
        <v>6363.983532</v>
      </c>
      <c r="H9" s="59" t="n">
        <f aca="false">'Revenue Model'!H30</f>
        <v>7043.9907456</v>
      </c>
      <c r="I9" s="59" t="n">
        <f aca="false">'Revenue Model'!I30</f>
        <v>7777.0603681248</v>
      </c>
      <c r="J9" s="59" t="n">
        <f aca="false">'Revenue Model'!J30</f>
        <v>8539.21470348903</v>
      </c>
      <c r="K9" s="59" t="n">
        <f aca="false">'Revenue Model'!K30</f>
        <v>9189.23005684467</v>
      </c>
    </row>
    <row r="10" customFormat="false" ht="15" hidden="false" customHeight="false" outlineLevel="0" collapsed="false">
      <c r="A10" s="4" t="s">
        <v>341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9" t="s">
        <v>244</v>
      </c>
      <c r="C11" s="28" t="n">
        <v>12777</v>
      </c>
      <c r="D11" s="28" t="n">
        <v>15249</v>
      </c>
      <c r="E11" s="28" t="n">
        <v>13433</v>
      </c>
      <c r="F11" s="59" t="n">
        <f aca="false">Interim!K26</f>
        <v>12422.257378</v>
      </c>
      <c r="G11" s="46" t="n">
        <f aca="false">G8*G12</f>
        <v>12871.266417324</v>
      </c>
      <c r="H11" s="46" t="n">
        <f aca="false">H8*H12</f>
        <v>13651.2540649728</v>
      </c>
      <c r="I11" s="46" t="n">
        <f aca="false">I8*I12</f>
        <v>14457.555224344</v>
      </c>
      <c r="J11" s="46" t="n">
        <f aca="false">J8*J12</f>
        <v>15242.4982457279</v>
      </c>
      <c r="K11" s="46" t="n">
        <f aca="false">K8*K12</f>
        <v>16043.3809176494</v>
      </c>
    </row>
    <row r="12" customFormat="false" ht="15" hidden="false" customHeight="false" outlineLevel="0" collapsed="false">
      <c r="A12" s="43" t="s">
        <v>245</v>
      </c>
      <c r="C12" s="50" t="n">
        <f aca="false">IFERROR(C11/C8,0)</f>
        <v>0.409060348967504</v>
      </c>
      <c r="D12" s="50" t="n">
        <f aca="false">IFERROR(D11/D8,0)</f>
        <v>0.431359791802212</v>
      </c>
      <c r="E12" s="50" t="n">
        <f aca="false">IFERROR(E11/E8,0)</f>
        <v>0.362007168458781</v>
      </c>
      <c r="F12" s="51" t="n">
        <f aca="false">IFERROR(F11/F8,0)</f>
        <v>0.342725302199196</v>
      </c>
      <c r="G12" s="61" t="n">
        <f aca="false">Scenarios!C31</f>
        <v>0.343</v>
      </c>
      <c r="H12" s="61" t="n">
        <f aca="false">Scenarios!D31</f>
        <v>0.342</v>
      </c>
      <c r="I12" s="61" t="n">
        <f aca="false">Scenarios!E31</f>
        <v>0.341</v>
      </c>
      <c r="J12" s="61" t="n">
        <f aca="false">Scenarios!F31</f>
        <v>0.34</v>
      </c>
      <c r="K12" s="61" t="n">
        <f aca="false">Scenarios!G31</f>
        <v>0.34</v>
      </c>
    </row>
    <row r="13" customFormat="false" ht="15" hidden="false" customHeight="false" outlineLevel="0" collapsed="false">
      <c r="A13" s="43" t="s">
        <v>249</v>
      </c>
      <c r="C13" s="50" t="n">
        <f aca="false">IFERROR(C11/C6,0)</f>
        <v>0.398000186898421</v>
      </c>
      <c r="D13" s="50" t="n">
        <f aca="false">IFERROR(D11/D6,0)</f>
        <v>0.393542892536389</v>
      </c>
      <c r="E13" s="50" t="n">
        <f aca="false">IFERROR(E11/E6,0)</f>
        <v>0.321002700313045</v>
      </c>
      <c r="F13" s="51" t="n">
        <f aca="false">IFERROR(F11/F6,0)</f>
        <v>0.296597233933535</v>
      </c>
      <c r="G13" s="51" t="n">
        <f aca="false">IFERROR(G11/G6,0)</f>
        <v>0.293265</v>
      </c>
      <c r="H13" s="51" t="n">
        <f aca="false">IFERROR(H11/H6,0)</f>
        <v>0.2907</v>
      </c>
      <c r="I13" s="51" t="n">
        <f aca="false">IFERROR(I11/I6,0)</f>
        <v>0.288145</v>
      </c>
      <c r="J13" s="51" t="n">
        <f aca="false">IFERROR(J11/J6,0)</f>
        <v>0.2856</v>
      </c>
      <c r="K13" s="51" t="n">
        <f aca="false">IFERROR(K11/K6,0)</f>
        <v>0.28458</v>
      </c>
    </row>
    <row r="14" customFormat="false" ht="15" hidden="false" customHeight="false" outlineLevel="0" collapsed="false">
      <c r="A14" s="6" t="s">
        <v>246</v>
      </c>
      <c r="C14" s="47" t="n">
        <f aca="false">C6-C11</f>
        <v>19326</v>
      </c>
      <c r="D14" s="47" t="n">
        <f aca="false">D6-D11</f>
        <v>23499</v>
      </c>
      <c r="E14" s="47" t="n">
        <f aca="false">E6-E11</f>
        <v>28414</v>
      </c>
      <c r="F14" s="48" t="n">
        <f aca="false">F6-F11</f>
        <v>29460.322622</v>
      </c>
      <c r="G14" s="48" t="n">
        <f aca="false">G6-G11</f>
        <v>31018.275182676</v>
      </c>
      <c r="H14" s="48" t="n">
        <f aca="false">H6-H11</f>
        <v>33308.6842390272</v>
      </c>
      <c r="I14" s="48" t="n">
        <f aca="false">I6-I11</f>
        <v>35717.027795816</v>
      </c>
      <c r="J14" s="48" t="n">
        <f aca="false">J6-J11</f>
        <v>38127.5936510785</v>
      </c>
      <c r="K14" s="48" t="n">
        <f aca="false">K6-K11</f>
        <v>40332.26360287</v>
      </c>
    </row>
    <row r="15" customFormat="false" ht="15" hidden="false" customHeight="false" outlineLevel="0" collapsed="false">
      <c r="A15" s="43" t="s">
        <v>247</v>
      </c>
      <c r="C15" s="50" t="n">
        <f aca="false">IFERROR(C14/C6,0)</f>
        <v>0.601999813101579</v>
      </c>
      <c r="D15" s="50" t="n">
        <f aca="false">IFERROR(D14/D6,0)</f>
        <v>0.606457107463611</v>
      </c>
      <c r="E15" s="50" t="n">
        <f aca="false">IFERROR(E14/E6,0)</f>
        <v>0.678997299686955</v>
      </c>
      <c r="F15" s="51" t="n">
        <f aca="false">IFERROR(F14/F6,0)</f>
        <v>0.703402766066465</v>
      </c>
      <c r="G15" s="51" t="n">
        <f aca="false">IFERROR(G14/G6,0)</f>
        <v>0.706735</v>
      </c>
      <c r="H15" s="51" t="n">
        <f aca="false">IFERROR(H14/H6,0)</f>
        <v>0.7093</v>
      </c>
      <c r="I15" s="51" t="n">
        <f aca="false">IFERROR(I14/I6,0)</f>
        <v>0.711855</v>
      </c>
      <c r="J15" s="51" t="n">
        <f aca="false">IFERROR(J14/J6,0)</f>
        <v>0.7144</v>
      </c>
      <c r="K15" s="51" t="n">
        <f aca="false">IFERROR(K14/K6,0)</f>
        <v>0.71542</v>
      </c>
    </row>
    <row r="16" customFormat="false" ht="15" hidden="false" customHeight="false" outlineLevel="0" collapsed="false">
      <c r="A16" s="9" t="s">
        <v>342</v>
      </c>
      <c r="C16" s="28" t="n">
        <v>13501</v>
      </c>
      <c r="D16" s="28" t="n">
        <v>16847</v>
      </c>
      <c r="E16" s="28" t="n">
        <v>19072</v>
      </c>
      <c r="F16" s="59" t="n">
        <f aca="false">Interim!K30</f>
        <v>21000.7758</v>
      </c>
      <c r="G16" s="46" t="n">
        <f aca="false">G6*G17</f>
        <v>22164.218508</v>
      </c>
      <c r="H16" s="46" t="n">
        <f aca="false">H6*H17</f>
        <v>23573.889028608</v>
      </c>
      <c r="I16" s="46" t="n">
        <f aca="false">I6*I17</f>
        <v>25087.29151008</v>
      </c>
      <c r="J16" s="46" t="n">
        <f aca="false">J6*J17</f>
        <v>26685.0459484032</v>
      </c>
      <c r="K16" s="46" t="n">
        <f aca="false">K6*K17</f>
        <v>28187.8222602597</v>
      </c>
    </row>
    <row r="17" customFormat="false" ht="15" hidden="false" customHeight="false" outlineLevel="0" collapsed="false">
      <c r="A17" s="43" t="s">
        <v>249</v>
      </c>
      <c r="C17" s="50" t="n">
        <f aca="false">IFERROR(C16/C6,0)</f>
        <v>0.420552596330561</v>
      </c>
      <c r="D17" s="50" t="n">
        <f aca="false">IFERROR(D16/D6,0)</f>
        <v>0.434783730773201</v>
      </c>
      <c r="E17" s="50" t="n">
        <f aca="false">IFERROR(E16/E6,0)</f>
        <v>0.455755490238249</v>
      </c>
      <c r="F17" s="51" t="n">
        <f aca="false">IFERROR(F16/F6,0)</f>
        <v>0.501420299322535</v>
      </c>
      <c r="G17" s="61" t="n">
        <f aca="false">Scenarios!C36</f>
        <v>0.505</v>
      </c>
      <c r="H17" s="61" t="n">
        <f aca="false">Scenarios!D36</f>
        <v>0.502</v>
      </c>
      <c r="I17" s="61" t="n">
        <f aca="false">Scenarios!E36</f>
        <v>0.5</v>
      </c>
      <c r="J17" s="61" t="n">
        <f aca="false">Scenarios!F36</f>
        <v>0.5</v>
      </c>
      <c r="K17" s="61" t="n">
        <f aca="false">Scenarios!G36</f>
        <v>0.5</v>
      </c>
    </row>
    <row r="18" customFormat="false" ht="15" hidden="false" customHeight="false" outlineLevel="0" collapsed="false">
      <c r="A18" s="43" t="s">
        <v>250</v>
      </c>
      <c r="C18" s="53" t="n">
        <f aca="false">C16/'Revenue Model'!C9</f>
        <v>18.8825174825175</v>
      </c>
      <c r="D18" s="53" t="n">
        <f aca="false">D16/'Revenue Model'!D9</f>
        <v>18.3318824809576</v>
      </c>
      <c r="E18" s="53" t="n">
        <f aca="false">E16/'Revenue Model'!E9</f>
        <v>17.6920222634508</v>
      </c>
      <c r="F18" s="54" t="n">
        <f aca="false">F16/'Revenue Model'!F9</f>
        <v>18.3627789727716</v>
      </c>
      <c r="G18" s="54" t="n">
        <f aca="false">G16/'Revenue Model'!G9</f>
        <v>18.1035845037981</v>
      </c>
      <c r="H18" s="54" t="n">
        <f aca="false">H16/'Revenue Model'!H9</f>
        <v>18.1029857155205</v>
      </c>
      <c r="I18" s="54" t="n">
        <f aca="false">I16/'Revenue Model'!I9</f>
        <v>18.2897143333062</v>
      </c>
      <c r="J18" s="54" t="n">
        <f aca="false">J16/'Revenue Model'!J9</f>
        <v>18.4724655782123</v>
      </c>
      <c r="K18" s="54" t="n">
        <f aca="false">K16/'Revenue Model'!K9</f>
        <v>18.8528965990882</v>
      </c>
    </row>
    <row r="19" customFormat="false" ht="15" hidden="false" customHeight="false" outlineLevel="0" collapsed="false">
      <c r="A19" s="6" t="s">
        <v>343</v>
      </c>
      <c r="C19" s="47" t="n">
        <f aca="false">C14-C16</f>
        <v>5825</v>
      </c>
      <c r="D19" s="47" t="n">
        <f aca="false">D14-D16</f>
        <v>6652</v>
      </c>
      <c r="E19" s="47" t="n">
        <f aca="false">E14-E16</f>
        <v>9342</v>
      </c>
      <c r="F19" s="48" t="n">
        <f aca="false">F14-F16</f>
        <v>8459.546822</v>
      </c>
      <c r="G19" s="48" t="n">
        <f aca="false">G14-G16</f>
        <v>8854.056674676</v>
      </c>
      <c r="H19" s="48" t="n">
        <f aca="false">H14-H16</f>
        <v>9734.7952104192</v>
      </c>
      <c r="I19" s="48" t="n">
        <f aca="false">I14-I16</f>
        <v>10629.736285736</v>
      </c>
      <c r="J19" s="48" t="n">
        <f aca="false">J14-J16</f>
        <v>11442.5477026753</v>
      </c>
      <c r="K19" s="48" t="n">
        <f aca="false">K14-K16</f>
        <v>12144.4413426103</v>
      </c>
    </row>
    <row r="20" customFormat="false" ht="15" hidden="false" customHeight="false" outlineLevel="0" collapsed="false">
      <c r="A20" s="43" t="s">
        <v>344</v>
      </c>
      <c r="C20" s="50" t="n">
        <f aca="false">IFERROR(C19/C6,0)</f>
        <v>0.181447216771018</v>
      </c>
      <c r="D20" s="50" t="n">
        <f aca="false">IFERROR(D19/D6,0)</f>
        <v>0.17167337669041</v>
      </c>
      <c r="E20" s="50" t="n">
        <f aca="false">IFERROR(E19/E6,0)</f>
        <v>0.223241809448706</v>
      </c>
      <c r="F20" s="51" t="n">
        <f aca="false">IFERROR(F19/F6,0)</f>
        <v>0.20198246674393</v>
      </c>
      <c r="G20" s="51" t="n">
        <f aca="false">IFERROR(G19/G6,0)</f>
        <v>0.201735</v>
      </c>
      <c r="H20" s="51" t="n">
        <f aca="false">IFERROR(H19/H6,0)</f>
        <v>0.2073</v>
      </c>
      <c r="I20" s="51" t="n">
        <f aca="false">IFERROR(I19/I6,0)</f>
        <v>0.211855</v>
      </c>
      <c r="J20" s="51" t="n">
        <f aca="false">IFERROR(J19/J6,0)</f>
        <v>0.2144</v>
      </c>
      <c r="K20" s="51" t="n">
        <f aca="false">IFERROR(K19/K6,0)</f>
        <v>0.21542</v>
      </c>
    </row>
    <row r="21" customFormat="false" ht="15" hidden="false" customHeight="false" outlineLevel="0" collapsed="false">
      <c r="A21" s="9" t="s">
        <v>251</v>
      </c>
      <c r="C21" s="28" t="n">
        <v>3453</v>
      </c>
      <c r="D21" s="28" t="n">
        <v>4159</v>
      </c>
      <c r="E21" s="28" t="n">
        <v>6191</v>
      </c>
      <c r="F21" s="59" t="n">
        <f aca="false">Interim!K33</f>
        <v>5877.0583</v>
      </c>
      <c r="G21" s="46" t="n">
        <f aca="false">G6*G22</f>
        <v>5925.088116</v>
      </c>
      <c r="H21" s="46" t="n">
        <f aca="false">H6*H22</f>
        <v>6245.671794432</v>
      </c>
      <c r="I21" s="46" t="n">
        <f aca="false">I6*I22</f>
        <v>6623.04495866112</v>
      </c>
      <c r="J21" s="46" t="n">
        <f aca="false">J6*J22</f>
        <v>7044.85213037845</v>
      </c>
      <c r="K21" s="46" t="n">
        <f aca="false">K6*K22</f>
        <v>7441.58507670857</v>
      </c>
    </row>
    <row r="22" customFormat="false" ht="15" hidden="false" customHeight="false" outlineLevel="0" collapsed="false">
      <c r="A22" s="43" t="s">
        <v>249</v>
      </c>
      <c r="C22" s="50" t="n">
        <f aca="false">IFERROR(C21/C6,0)</f>
        <v>0.107560041117653</v>
      </c>
      <c r="D22" s="50" t="n">
        <f aca="false">IFERROR(D21/D6,0)</f>
        <v>0.107334572106947</v>
      </c>
      <c r="E22" s="50" t="n">
        <f aca="false">IFERROR(E21/E6,0)</f>
        <v>0.147943699667838</v>
      </c>
      <c r="F22" s="51" t="n">
        <f aca="false">IFERROR(F21/F6,0)</f>
        <v>0.140322260472015</v>
      </c>
      <c r="G22" s="61" t="n">
        <f aca="false">Scenarios!C41</f>
        <v>0.135</v>
      </c>
      <c r="H22" s="61" t="n">
        <f aca="false">Scenarios!D41</f>
        <v>0.133</v>
      </c>
      <c r="I22" s="61" t="n">
        <f aca="false">Scenarios!E41</f>
        <v>0.132</v>
      </c>
      <c r="J22" s="61" t="n">
        <f aca="false">Scenarios!F41</f>
        <v>0.132</v>
      </c>
      <c r="K22" s="61" t="n">
        <f aca="false">Scenarios!G41</f>
        <v>0.132</v>
      </c>
    </row>
    <row r="23" customFormat="false" ht="15" hidden="false" customHeight="false" outlineLevel="0" collapsed="false">
      <c r="A23" s="9" t="s">
        <v>345</v>
      </c>
      <c r="C23" s="28" t="n">
        <v>668</v>
      </c>
      <c r="D23" s="28" t="n">
        <v>849</v>
      </c>
      <c r="E23" s="28" t="n">
        <v>896</v>
      </c>
      <c r="F23" s="59" t="n">
        <f aca="false">Interim!K35</f>
        <v>999.21734</v>
      </c>
      <c r="G23" s="46" t="n">
        <f aca="false">G6*G24</f>
        <v>1053.3489984</v>
      </c>
      <c r="H23" s="46" t="n">
        <f aca="false">H6*H24</f>
        <v>1127.038519296</v>
      </c>
      <c r="I23" s="46" t="n">
        <f aca="false">I6*I24</f>
        <v>1204.18999248384</v>
      </c>
      <c r="J23" s="46" t="n">
        <f aca="false">J6*J24</f>
        <v>1280.88220552335</v>
      </c>
      <c r="K23" s="46" t="n">
        <f aca="false">K6*K24</f>
        <v>1353.01546849247</v>
      </c>
    </row>
    <row r="24" customFormat="false" ht="15" hidden="false" customHeight="false" outlineLevel="0" collapsed="false">
      <c r="A24" s="43" t="s">
        <v>249</v>
      </c>
      <c r="C24" s="50" t="n">
        <f aca="false">IFERROR(C23/C6,0)</f>
        <v>0.0208080241721957</v>
      </c>
      <c r="D24" s="50" t="n">
        <f aca="false">IFERROR(D23/D6,0)</f>
        <v>0.0219108082997832</v>
      </c>
      <c r="E24" s="50" t="n">
        <f aca="false">IFERROR(E23/E6,0)</f>
        <v>0.0214113317561593</v>
      </c>
      <c r="F24" s="51" t="n">
        <f aca="false">IFERROR(F23/F6,0)</f>
        <v>0.0238575880473457</v>
      </c>
      <c r="G24" s="61" t="n">
        <f aca="false">Scenarios!C46</f>
        <v>0.024</v>
      </c>
      <c r="H24" s="61" t="n">
        <f aca="false">Scenarios!D46</f>
        <v>0.024</v>
      </c>
      <c r="I24" s="61" t="n">
        <f aca="false">Scenarios!E46</f>
        <v>0.024</v>
      </c>
      <c r="J24" s="61" t="n">
        <f aca="false">Scenarios!F46</f>
        <v>0.024</v>
      </c>
      <c r="K24" s="61" t="n">
        <f aca="false">Scenarios!G46</f>
        <v>0.024</v>
      </c>
    </row>
    <row r="25" customFormat="false" ht="15" hidden="false" customHeight="false" outlineLevel="0" collapsed="false">
      <c r="A25" s="9" t="s">
        <v>346</v>
      </c>
      <c r="C25" s="28" t="n">
        <v>328</v>
      </c>
      <c r="D25" s="28" t="n">
        <v>678</v>
      </c>
      <c r="E25" s="28" t="n">
        <v>548</v>
      </c>
      <c r="F25" s="59" t="n">
        <f aca="false">Interim!K37</f>
        <v>548.73154</v>
      </c>
      <c r="G25" s="46" t="n">
        <f aca="false">G6*G26</f>
        <v>570.5640408</v>
      </c>
      <c r="H25" s="46" t="n">
        <f aca="false">H6*H26</f>
        <v>610.479197952</v>
      </c>
      <c r="I25" s="46" t="n">
        <f aca="false">I6*I26</f>
        <v>652.26957926208</v>
      </c>
      <c r="J25" s="46" t="n">
        <f aca="false">J6*J26</f>
        <v>693.811194658483</v>
      </c>
      <c r="K25" s="46" t="n">
        <f aca="false">K6*K26</f>
        <v>732.883378766753</v>
      </c>
    </row>
    <row r="26" customFormat="false" ht="15" hidden="false" customHeight="false" outlineLevel="0" collapsed="false">
      <c r="A26" s="43" t="s">
        <v>249</v>
      </c>
      <c r="C26" s="50" t="n">
        <f aca="false">IFERROR(C25/C6,0)</f>
        <v>0.0102171136653895</v>
      </c>
      <c r="D26" s="50" t="n">
        <f aca="false">IFERROR(D25/D6,0)</f>
        <v>0.0174976772994735</v>
      </c>
      <c r="E26" s="50" t="n">
        <f aca="false">IFERROR(E25/E6,0)</f>
        <v>0.013095323440151</v>
      </c>
      <c r="F26" s="51" t="n">
        <f aca="false">IFERROR(F25/F6,0)</f>
        <v>0.0131016651791747</v>
      </c>
      <c r="G26" s="61" t="n">
        <f aca="false">Scenarios!C51</f>
        <v>0.013</v>
      </c>
      <c r="H26" s="61" t="n">
        <f aca="false">Scenarios!D51</f>
        <v>0.013</v>
      </c>
      <c r="I26" s="61" t="n">
        <f aca="false">Scenarios!E51</f>
        <v>0.013</v>
      </c>
      <c r="J26" s="61" t="n">
        <f aca="false">Scenarios!F51</f>
        <v>0.013</v>
      </c>
      <c r="K26" s="61" t="n">
        <f aca="false">Scenarios!G51</f>
        <v>0.013</v>
      </c>
    </row>
    <row r="27" customFormat="false" ht="15" hidden="false" customHeight="false" outlineLevel="0" collapsed="false">
      <c r="A27" s="9" t="s">
        <v>347</v>
      </c>
      <c r="C27" s="55" t="n">
        <f aca="false">C11+C16+C21+C23+C25</f>
        <v>30727</v>
      </c>
      <c r="D27" s="55" t="n">
        <f aca="false">D11+D16+D21+D23+D25</f>
        <v>37782</v>
      </c>
      <c r="E27" s="55" t="n">
        <f aca="false">E11+E16+E21+E23+E25</f>
        <v>40140</v>
      </c>
      <c r="F27" s="56" t="n">
        <f aca="false">F11+F16+F21+F23+F25</f>
        <v>40848.040358</v>
      </c>
      <c r="G27" s="56" t="n">
        <f aca="false">G11+G16+G21+G23+G25</f>
        <v>42584.486080524</v>
      </c>
      <c r="H27" s="56" t="n">
        <f aca="false">H11+H16+H21+H23+H25</f>
        <v>45208.3326052608</v>
      </c>
      <c r="I27" s="56" t="n">
        <f aca="false">I11+I16+I21+I23+I25</f>
        <v>48024.3512648311</v>
      </c>
      <c r="J27" s="56" t="n">
        <f aca="false">J11+J16+J21+J23+J25</f>
        <v>50947.0897246914</v>
      </c>
      <c r="K27" s="56" t="n">
        <f aca="false">K11+K16+K21+K23+K25</f>
        <v>53758.6871018769</v>
      </c>
    </row>
    <row r="28" customFormat="false" ht="15" hidden="false" customHeight="false" outlineLevel="0" collapsed="false">
      <c r="A28" s="43" t="s">
        <v>249</v>
      </c>
      <c r="C28" s="50" t="n">
        <f aca="false">IFERROR(C27/C6,0)</f>
        <v>0.95713796218422</v>
      </c>
      <c r="D28" s="50" t="n">
        <f aca="false">IFERROR(D27/D6,0)</f>
        <v>0.975069681015794</v>
      </c>
      <c r="E28" s="50" t="n">
        <f aca="false">IFERROR(E27/E6,0)</f>
        <v>0.959208545415442</v>
      </c>
      <c r="F28" s="51" t="n">
        <f aca="false">IFERROR(F27/F6,0)</f>
        <v>0.975299046954605</v>
      </c>
      <c r="G28" s="51" t="n">
        <f aca="false">IFERROR(G27/G6,0)</f>
        <v>0.970265</v>
      </c>
      <c r="H28" s="51" t="n">
        <f aca="false">IFERROR(H27/H6,0)</f>
        <v>0.9627</v>
      </c>
      <c r="I28" s="51" t="n">
        <f aca="false">IFERROR(I27/I6,0)</f>
        <v>0.957145</v>
      </c>
      <c r="J28" s="51" t="n">
        <f aca="false">IFERROR(J27/J6,0)</f>
        <v>0.9546</v>
      </c>
      <c r="K28" s="51" t="n">
        <f aca="false">IFERROR(K27/K6,0)</f>
        <v>0.95358</v>
      </c>
    </row>
    <row r="29" customFormat="false" ht="15" hidden="false" customHeight="false" outlineLevel="0" collapsed="false">
      <c r="A29" s="6" t="s">
        <v>348</v>
      </c>
      <c r="C29" s="47" t="n">
        <f aca="false">C6-C27</f>
        <v>1376</v>
      </c>
      <c r="D29" s="47" t="n">
        <f aca="false">D6-D27</f>
        <v>966</v>
      </c>
      <c r="E29" s="47" t="n">
        <f aca="false">E6-E27</f>
        <v>1707</v>
      </c>
      <c r="F29" s="48" t="n">
        <f aca="false">F6-F27</f>
        <v>1034.539642</v>
      </c>
      <c r="G29" s="48" t="n">
        <f aca="false">G6-G27</f>
        <v>1305.05551947601</v>
      </c>
      <c r="H29" s="48" t="n">
        <f aca="false">H6-H27</f>
        <v>1751.6056987392</v>
      </c>
      <c r="I29" s="48" t="n">
        <f aca="false">I6-I27</f>
        <v>2150.23175532895</v>
      </c>
      <c r="J29" s="48" t="n">
        <f aca="false">J6-J27</f>
        <v>2423.00217211501</v>
      </c>
      <c r="K29" s="48" t="n">
        <f aca="false">K6-K27</f>
        <v>2616.95741864252</v>
      </c>
    </row>
    <row r="30" customFormat="false" ht="15" hidden="false" customHeight="false" outlineLevel="0" collapsed="false">
      <c r="A30" s="43" t="s">
        <v>255</v>
      </c>
      <c r="C30" s="50" t="n">
        <f aca="false">IFERROR(C29/C6,0)</f>
        <v>0.0428620378157805</v>
      </c>
      <c r="D30" s="50" t="n">
        <f aca="false">IFERROR(D29/D6,0)</f>
        <v>0.0249303189842056</v>
      </c>
      <c r="E30" s="50" t="n">
        <f aca="false">IFERROR(E29/E6,0)</f>
        <v>0.040791454584558</v>
      </c>
      <c r="F30" s="51" t="n">
        <f aca="false">IFERROR(F29/F6,0)</f>
        <v>0.0247009530453949</v>
      </c>
      <c r="G30" s="51" t="n">
        <f aca="false">IFERROR(G29/G6,0)</f>
        <v>0.0297350000000002</v>
      </c>
      <c r="H30" s="51" t="n">
        <f aca="false">IFERROR(H29/H6,0)</f>
        <v>0.0373</v>
      </c>
      <c r="I30" s="51" t="n">
        <f aca="false">IFERROR(I29/I6,0)</f>
        <v>0.0428549999999999</v>
      </c>
      <c r="J30" s="51" t="n">
        <f aca="false">IFERROR(J29/J6,0)</f>
        <v>0.0454</v>
      </c>
      <c r="K30" s="51" t="n">
        <f aca="false">IFERROR(K29/K6,0)</f>
        <v>0.0464200000000001</v>
      </c>
    </row>
    <row r="31" customFormat="false" ht="15" hidden="false" customHeight="false" outlineLevel="0" collapsed="false">
      <c r="A31" s="43" t="s">
        <v>313</v>
      </c>
      <c r="D31" s="50" t="n">
        <f aca="false">IFERROR(D29/C29-1,0)</f>
        <v>-0.29796511627907</v>
      </c>
      <c r="E31" s="50" t="n">
        <f aca="false">IFERROR(E29/D29-1,0)</f>
        <v>0.767080745341615</v>
      </c>
      <c r="F31" s="51" t="n">
        <f aca="false">IFERROR(F29/E29-1,0)</f>
        <v>-0.393942799062685</v>
      </c>
      <c r="G31" s="51" t="n">
        <f aca="false">IFERROR(G29/F29-1,0)</f>
        <v>0.261484303253035</v>
      </c>
      <c r="H31" s="51" t="n">
        <f aca="false">IFERROR(H29/G29-1,0)</f>
        <v>0.342169488270112</v>
      </c>
      <c r="I31" s="51" t="n">
        <f aca="false">IFERROR(I29/H29-1,0)</f>
        <v>0.227577506100079</v>
      </c>
      <c r="J31" s="51" t="n">
        <f aca="false">IFERROR(J29/I29-1,0)</f>
        <v>0.126856287053731</v>
      </c>
      <c r="K31" s="51" t="n">
        <f aca="false">IFERROR(K29/J29-1,0)</f>
        <v>0.0800474918098002</v>
      </c>
    </row>
    <row r="32" customFormat="false" ht="15" hidden="false" customHeight="false" outlineLevel="0" collapsed="false">
      <c r="A32" s="9" t="s">
        <v>349</v>
      </c>
      <c r="C32" s="28" t="n">
        <v>49</v>
      </c>
      <c r="D32" s="28" t="n">
        <v>71</v>
      </c>
      <c r="E32" s="28" t="n">
        <v>85</v>
      </c>
      <c r="F32" s="59" t="n">
        <f aca="false">Interim!K41</f>
        <v>90</v>
      </c>
      <c r="G32" s="60" t="n">
        <v>100</v>
      </c>
      <c r="H32" s="60" t="n">
        <v>105</v>
      </c>
      <c r="I32" s="60" t="n">
        <v>110</v>
      </c>
      <c r="J32" s="60" t="n">
        <v>115</v>
      </c>
      <c r="K32" s="60" t="n">
        <v>120</v>
      </c>
      <c r="M32" s="19" t="s">
        <v>350</v>
      </c>
    </row>
    <row r="33" customFormat="false" ht="15" hidden="false" customHeight="false" outlineLevel="0" collapsed="false">
      <c r="A33" s="6" t="s">
        <v>257</v>
      </c>
      <c r="C33" s="57" t="n">
        <f aca="false">C29+C32</f>
        <v>1425</v>
      </c>
      <c r="D33" s="57" t="n">
        <f aca="false">D29+D32</f>
        <v>1037</v>
      </c>
      <c r="E33" s="57" t="n">
        <f aca="false">E29+E32</f>
        <v>1792</v>
      </c>
      <c r="F33" s="58" t="n">
        <f aca="false">F29+F32</f>
        <v>1124.539642</v>
      </c>
      <c r="G33" s="58" t="n">
        <f aca="false">G29+G32</f>
        <v>1405.05551947601</v>
      </c>
      <c r="H33" s="58" t="n">
        <f aca="false">H29+H32</f>
        <v>1856.6056987392</v>
      </c>
      <c r="I33" s="58" t="n">
        <f aca="false">I29+I32</f>
        <v>2260.23175532895</v>
      </c>
      <c r="J33" s="58" t="n">
        <f aca="false">J29+J32</f>
        <v>2538.00217211501</v>
      </c>
      <c r="K33" s="58" t="n">
        <f aca="false">K29+K32</f>
        <v>2736.95741864252</v>
      </c>
    </row>
    <row r="34" customFormat="false" ht="15" hidden="false" customHeight="false" outlineLevel="0" collapsed="false">
      <c r="A34" s="43" t="s">
        <v>258</v>
      </c>
      <c r="C34" s="50" t="n">
        <f aca="false">IFERROR(C33/C6,0)</f>
        <v>0.0443883749182319</v>
      </c>
      <c r="D34" s="50" t="n">
        <f aca="false">IFERROR(D33/D6,0)</f>
        <v>0.0267626716217611</v>
      </c>
      <c r="E34" s="50" t="n">
        <f aca="false">IFERROR(E33/E6,0)</f>
        <v>0.0428226635123187</v>
      </c>
      <c r="F34" s="51" t="n">
        <f aca="false">IFERROR(F33/F6,0)</f>
        <v>0.026849817800145</v>
      </c>
      <c r="G34" s="51" t="n">
        <f aca="false">IFERROR(G33/G6,0)</f>
        <v>0.0320134471278235</v>
      </c>
      <c r="H34" s="51" t="n">
        <f aca="false">IFERROR(H33/H6,0)</f>
        <v>0.0395359484231064</v>
      </c>
      <c r="I34" s="51" t="n">
        <f aca="false">IFERROR(I33/I6,0)</f>
        <v>0.0450473450755096</v>
      </c>
      <c r="J34" s="51" t="n">
        <f aca="false">IFERROR(J33/J6,0)</f>
        <v>0.0475547648863404</v>
      </c>
      <c r="K34" s="51" t="n">
        <f aca="false">IFERROR(K33/K6,0)</f>
        <v>0.0485485787687328</v>
      </c>
    </row>
    <row r="35" customFormat="false" ht="15" hidden="false" customHeight="false" outlineLevel="0" collapsed="false">
      <c r="A35" s="43" t="s">
        <v>351</v>
      </c>
      <c r="C35" s="73" t="n">
        <f aca="false">IFERROR(C36/C6,0)</f>
        <v>0.001806684733514</v>
      </c>
      <c r="D35" s="73" t="n">
        <f aca="false">IFERROR(D36/D6,0)</f>
        <v>0.00320016516981522</v>
      </c>
      <c r="E35" s="73" t="n">
        <f aca="false">IFERROR(E36/E6,0)</f>
        <v>0.00360838291872775</v>
      </c>
      <c r="F35" s="74" t="n">
        <v>0.0043</v>
      </c>
      <c r="G35" s="74" t="n">
        <v>0.0043</v>
      </c>
      <c r="H35" s="74" t="n">
        <v>0.0043</v>
      </c>
      <c r="I35" s="74" t="n">
        <v>0.0043</v>
      </c>
      <c r="J35" s="74" t="n">
        <v>0.0043</v>
      </c>
      <c r="K35" s="74" t="n">
        <v>0.0043</v>
      </c>
    </row>
    <row r="36" customFormat="false" ht="15" hidden="false" customHeight="false" outlineLevel="0" collapsed="false">
      <c r="A36" s="9" t="s">
        <v>274</v>
      </c>
      <c r="C36" s="28" t="n">
        <v>58</v>
      </c>
      <c r="D36" s="28" t="n">
        <v>124</v>
      </c>
      <c r="E36" s="28" t="n">
        <v>151</v>
      </c>
      <c r="F36" s="46" t="n">
        <f aca="false">F6*F35</f>
        <v>180.095094</v>
      </c>
      <c r="G36" s="46" t="n">
        <f aca="false">G6*G35</f>
        <v>188.72502888</v>
      </c>
      <c r="H36" s="46" t="n">
        <f aca="false">H6*H35</f>
        <v>201.9277347072</v>
      </c>
      <c r="I36" s="46" t="n">
        <f aca="false">I6*I35</f>
        <v>215.750706986688</v>
      </c>
      <c r="J36" s="46" t="n">
        <f aca="false">J6*J35</f>
        <v>229.491395156268</v>
      </c>
      <c r="K36" s="46" t="n">
        <f aca="false">K6*K35</f>
        <v>242.415271438234</v>
      </c>
    </row>
    <row r="37" customFormat="false" ht="15" hidden="false" customHeight="false" outlineLevel="0" collapsed="false">
      <c r="A37" s="43" t="s">
        <v>352</v>
      </c>
      <c r="C37" s="73" t="n">
        <f aca="false">IFERROR(C38/C6,0)</f>
        <v>0.00370681867738218</v>
      </c>
      <c r="D37" s="73" t="n">
        <f aca="false">IFERROR(D38/D6,0)</f>
        <v>0.00516155672550841</v>
      </c>
      <c r="E37" s="73" t="n">
        <f aca="false">IFERROR(E38/E6,0)</f>
        <v>0.00590245417831625</v>
      </c>
      <c r="F37" s="74" t="n">
        <v>0.0068</v>
      </c>
      <c r="G37" s="74" t="n">
        <v>0.0068</v>
      </c>
      <c r="H37" s="74" t="n">
        <v>0.0068</v>
      </c>
      <c r="I37" s="74" t="n">
        <v>0.0068</v>
      </c>
      <c r="J37" s="74" t="n">
        <v>0.0068</v>
      </c>
      <c r="K37" s="74" t="n">
        <v>0.0068</v>
      </c>
    </row>
    <row r="38" customFormat="false" ht="15" hidden="false" customHeight="false" outlineLevel="0" collapsed="false">
      <c r="A38" s="9" t="s">
        <v>353</v>
      </c>
      <c r="C38" s="28" t="n">
        <v>119</v>
      </c>
      <c r="D38" s="28" t="n">
        <v>200</v>
      </c>
      <c r="E38" s="28" t="n">
        <v>247</v>
      </c>
      <c r="F38" s="46" t="n">
        <f aca="false">F6*F37</f>
        <v>284.801544</v>
      </c>
      <c r="G38" s="46" t="n">
        <f aca="false">G6*G37</f>
        <v>298.44888288</v>
      </c>
      <c r="H38" s="46" t="n">
        <f aca="false">H6*H37</f>
        <v>319.3275804672</v>
      </c>
      <c r="I38" s="46" t="n">
        <f aca="false">I6*I37</f>
        <v>341.187164537088</v>
      </c>
      <c r="J38" s="46" t="n">
        <f aca="false">J6*J37</f>
        <v>362.916624898284</v>
      </c>
      <c r="K38" s="46" t="n">
        <f aca="false">K6*K37</f>
        <v>383.354382739532</v>
      </c>
    </row>
    <row r="39" customFormat="false" ht="15" hidden="false" customHeight="false" outlineLevel="0" collapsed="false">
      <c r="A39" s="6" t="s">
        <v>354</v>
      </c>
      <c r="C39" s="47" t="n">
        <f aca="false">C29+C36+C38</f>
        <v>1553</v>
      </c>
      <c r="D39" s="47" t="n">
        <f aca="false">D29+D36+D38</f>
        <v>1290</v>
      </c>
      <c r="E39" s="47" t="n">
        <f aca="false">E29+E36+E38</f>
        <v>2105</v>
      </c>
      <c r="F39" s="48" t="n">
        <f aca="false">F29+F36+F38</f>
        <v>1499.43628</v>
      </c>
      <c r="G39" s="48" t="n">
        <f aca="false">G29+G36+G38</f>
        <v>1792.22943123601</v>
      </c>
      <c r="H39" s="48" t="n">
        <f aca="false">H29+H36+H38</f>
        <v>2272.8610139136</v>
      </c>
      <c r="I39" s="48" t="n">
        <f aca="false">I29+I36+I38</f>
        <v>2707.16962685273</v>
      </c>
      <c r="J39" s="48" t="n">
        <f aca="false">J29+J36+J38</f>
        <v>3015.41019216956</v>
      </c>
      <c r="K39" s="48" t="n">
        <f aca="false">K29+K36+K38</f>
        <v>3242.72707282028</v>
      </c>
    </row>
    <row r="40" customFormat="false" ht="15" hidden="false" customHeight="false" outlineLevel="0" collapsed="false">
      <c r="A40" s="43" t="s">
        <v>355</v>
      </c>
      <c r="C40" s="50" t="n">
        <f aca="false">IFERROR(C39/C6,0)</f>
        <v>0.0483755412266766</v>
      </c>
      <c r="D40" s="50" t="n">
        <f aca="false">IFERROR(D39/D6,0)</f>
        <v>0.0332920408795293</v>
      </c>
      <c r="E40" s="50" t="n">
        <f aca="false">IFERROR(E39/E6,0)</f>
        <v>0.050302291681602</v>
      </c>
      <c r="F40" s="51" t="n">
        <f aca="false">IFERROR(F39/F6,0)</f>
        <v>0.0358009530453949</v>
      </c>
      <c r="G40" s="51" t="n">
        <f aca="false">IFERROR(G39/G6,0)</f>
        <v>0.0408350000000002</v>
      </c>
      <c r="H40" s="51" t="n">
        <f aca="false">IFERROR(H39/H6,0)</f>
        <v>0.0484</v>
      </c>
      <c r="I40" s="51" t="n">
        <f aca="false">IFERROR(I39/I6,0)</f>
        <v>0.0539549999999999</v>
      </c>
      <c r="J40" s="51" t="n">
        <f aca="false">IFERROR(J39/J6,0)</f>
        <v>0.0565</v>
      </c>
      <c r="K40" s="51" t="n">
        <f aca="false">IFERROR(K39/K6,0)</f>
        <v>0.0575200000000001</v>
      </c>
    </row>
    <row r="41" customFormat="false" ht="15" hidden="false" customHeight="false" outlineLevel="0" collapsed="false">
      <c r="A41" s="9" t="s">
        <v>356</v>
      </c>
      <c r="C41" s="26" t="n">
        <f aca="false">C39+C32</f>
        <v>1602</v>
      </c>
      <c r="D41" s="26" t="n">
        <f aca="false">D39+D32</f>
        <v>1361</v>
      </c>
      <c r="E41" s="26" t="n">
        <f aca="false">E39+E32</f>
        <v>2190</v>
      </c>
      <c r="F41" s="46" t="n">
        <f aca="false">F39+F32</f>
        <v>1589.43628</v>
      </c>
      <c r="G41" s="46" t="n">
        <f aca="false">G39+G32</f>
        <v>1892.22943123601</v>
      </c>
      <c r="H41" s="46" t="n">
        <f aca="false">H39+H32</f>
        <v>2377.8610139136</v>
      </c>
      <c r="I41" s="46" t="n">
        <f aca="false">I39+I32</f>
        <v>2817.16962685273</v>
      </c>
      <c r="J41" s="46" t="n">
        <f aca="false">J39+J32</f>
        <v>3130.41019216956</v>
      </c>
      <c r="K41" s="46" t="n">
        <f aca="false">K39+K32</f>
        <v>3362.72707282028</v>
      </c>
    </row>
    <row r="42" customFormat="false" ht="15" hidden="false" customHeight="false" outlineLevel="0" collapsed="false">
      <c r="A42" s="43" t="s">
        <v>357</v>
      </c>
      <c r="C42" s="50" t="n">
        <f aca="false">IFERROR(C41/C6,0)</f>
        <v>0.0499018783291281</v>
      </c>
      <c r="D42" s="50" t="n">
        <f aca="false">IFERROR(D41/D6,0)</f>
        <v>0.0351243935170848</v>
      </c>
      <c r="E42" s="50" t="n">
        <f aca="false">IFERROR(E41/E6,0)</f>
        <v>0.0523335006093627</v>
      </c>
      <c r="F42" s="51" t="n">
        <f aca="false">IFERROR(F41/F6,0)</f>
        <v>0.037949817800145</v>
      </c>
      <c r="G42" s="51" t="n">
        <f aca="false">IFERROR(G41/G6,0)</f>
        <v>0.0431134471278235</v>
      </c>
      <c r="H42" s="51" t="n">
        <f aca="false">IFERROR(H41/H6,0)</f>
        <v>0.0506359484231064</v>
      </c>
      <c r="I42" s="51" t="n">
        <f aca="false">IFERROR(I41/I6,0)</f>
        <v>0.0561473450755096</v>
      </c>
      <c r="J42" s="51" t="n">
        <f aca="false">IFERROR(J41/J6,0)</f>
        <v>0.0586547648863404</v>
      </c>
      <c r="K42" s="51" t="n">
        <f aca="false">IFERROR(K41/K6,0)</f>
        <v>0.0596485787687328</v>
      </c>
    </row>
    <row r="43" customFormat="false" ht="15" hidden="false" customHeight="false" outlineLevel="0" collapsed="false">
      <c r="A43" s="4" t="s">
        <v>358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5" hidden="false" customHeight="false" outlineLevel="0" collapsed="false">
      <c r="A44" s="9" t="s">
        <v>259</v>
      </c>
      <c r="C44" s="28" t="n">
        <v>1231</v>
      </c>
      <c r="D44" s="28" t="n">
        <v>2431</v>
      </c>
      <c r="E44" s="28" t="n">
        <v>328</v>
      </c>
      <c r="F44" s="59" t="n">
        <f aca="false">Interim!K44</f>
        <v>5884.30831803187</v>
      </c>
      <c r="G44" s="60" t="n">
        <v>0</v>
      </c>
      <c r="H44" s="60" t="n">
        <v>0</v>
      </c>
      <c r="I44" s="60" t="n">
        <v>0</v>
      </c>
      <c r="J44" s="60" t="n">
        <v>0</v>
      </c>
      <c r="K44" s="60" t="n">
        <v>0</v>
      </c>
      <c r="M44" s="19" t="s">
        <v>359</v>
      </c>
    </row>
    <row r="45" customFormat="false" ht="15" hidden="false" customHeight="false" outlineLevel="0" collapsed="false">
      <c r="A45" s="9" t="s">
        <v>261</v>
      </c>
      <c r="C45" s="28" t="n">
        <v>-36</v>
      </c>
      <c r="D45" s="28" t="n">
        <v>-171</v>
      </c>
      <c r="E45" s="28" t="n">
        <v>3</v>
      </c>
      <c r="F45" s="59" t="n">
        <f aca="false">Interim!K45</f>
        <v>-15</v>
      </c>
      <c r="G45" s="60" t="n">
        <v>0</v>
      </c>
      <c r="H45" s="60" t="n">
        <v>0</v>
      </c>
      <c r="I45" s="60" t="n">
        <v>0</v>
      </c>
      <c r="J45" s="60" t="n">
        <v>0</v>
      </c>
      <c r="K45" s="60" t="n">
        <v>0</v>
      </c>
      <c r="M45" s="19" t="s">
        <v>360</v>
      </c>
    </row>
    <row r="46" customFormat="false" ht="15" hidden="false" customHeight="false" outlineLevel="0" collapsed="false">
      <c r="A46" s="43" t="s">
        <v>361</v>
      </c>
      <c r="D46" s="50" t="n">
        <f aca="false">IFERROR(D47/AVERAGE('Balance Sheet'!C56,'Balance Sheet'!D56),0)</f>
        <v>0.0542850647874517</v>
      </c>
      <c r="E46" s="50" t="n">
        <f aca="false">IFERROR(E47/AVERAGE('Balance Sheet'!D56,'Balance Sheet'!E56),0)</f>
        <v>0.0468555475912023</v>
      </c>
      <c r="F46" s="51" t="n">
        <f aca="false">IFERROR(F47/AVERAGE('Balance Sheet'!E56,'Balance Sheet'!F56),0)</f>
        <v>0.0407523953087041</v>
      </c>
      <c r="G46" s="70" t="n">
        <v>0.036</v>
      </c>
      <c r="H46" s="70" t="n">
        <v>0.034</v>
      </c>
      <c r="I46" s="70" t="n">
        <v>0.033</v>
      </c>
      <c r="J46" s="70" t="n">
        <v>0.033</v>
      </c>
      <c r="K46" s="70" t="n">
        <v>0.033</v>
      </c>
      <c r="M46" s="19" t="s">
        <v>362</v>
      </c>
    </row>
    <row r="47" customFormat="false" ht="15" hidden="false" customHeight="false" outlineLevel="0" collapsed="false">
      <c r="A47" s="9" t="s">
        <v>263</v>
      </c>
      <c r="C47" s="28" t="n">
        <v>472</v>
      </c>
      <c r="D47" s="28" t="n">
        <v>597</v>
      </c>
      <c r="E47" s="28" t="n">
        <v>621</v>
      </c>
      <c r="F47" s="59" t="n">
        <f aca="false">Interim!K47</f>
        <v>584.835255258126</v>
      </c>
      <c r="G47" s="46" t="n">
        <f aca="false">G46*'Balance Sheet'!F56</f>
        <v>500.971813084632</v>
      </c>
      <c r="H47" s="46" t="n">
        <f aca="false">H46*'Balance Sheet'!G56</f>
        <v>506.903876306039</v>
      </c>
      <c r="I47" s="46" t="n">
        <f aca="false">I46*'Balance Sheet'!H56</f>
        <v>534.315586215624</v>
      </c>
      <c r="J47" s="46" t="n">
        <f aca="false">J46*'Balance Sheet'!I56</f>
        <v>582.11556515511</v>
      </c>
      <c r="K47" s="46" t="n">
        <f aca="false">K46*'Balance Sheet'!J56</f>
        <v>632.583526722092</v>
      </c>
    </row>
    <row r="48" customFormat="false" ht="15" hidden="false" customHeight="false" outlineLevel="0" collapsed="false">
      <c r="A48" s="9" t="s">
        <v>264</v>
      </c>
      <c r="C48" s="28" t="n">
        <v>-34</v>
      </c>
      <c r="D48" s="28" t="n">
        <v>-55</v>
      </c>
      <c r="E48" s="28" t="n">
        <v>-95</v>
      </c>
      <c r="F48" s="59" t="n">
        <f aca="false">Interim!K48</f>
        <v>-151</v>
      </c>
      <c r="G48" s="60" t="n">
        <v>0</v>
      </c>
      <c r="H48" s="60" t="n">
        <v>0</v>
      </c>
      <c r="I48" s="60" t="n">
        <v>0</v>
      </c>
      <c r="J48" s="60" t="n">
        <v>0</v>
      </c>
      <c r="K48" s="60" t="n">
        <v>0</v>
      </c>
    </row>
    <row r="49" customFormat="false" ht="15" hidden="false" customHeight="false" outlineLevel="0" collapsed="false">
      <c r="A49" s="43" t="s">
        <v>363</v>
      </c>
      <c r="G49" s="74" t="n">
        <v>-0.0015</v>
      </c>
      <c r="H49" s="74" t="n">
        <v>-0.0015</v>
      </c>
      <c r="I49" s="74" t="n">
        <v>-0.0015</v>
      </c>
      <c r="J49" s="74" t="n">
        <v>-0.0015</v>
      </c>
      <c r="K49" s="74" t="n">
        <v>-0.0015</v>
      </c>
    </row>
    <row r="50" customFormat="false" ht="15" hidden="false" customHeight="false" outlineLevel="0" collapsed="false">
      <c r="A50" s="9" t="s">
        <v>364</v>
      </c>
      <c r="C50" s="28" t="n">
        <v>-14</v>
      </c>
      <c r="D50" s="28" t="n">
        <v>1</v>
      </c>
      <c r="E50" s="28" t="n">
        <v>-50</v>
      </c>
      <c r="F50" s="59" t="n">
        <f aca="false">Interim!K49</f>
        <v>-70</v>
      </c>
      <c r="G50" s="46" t="n">
        <f aca="false">G6*G49</f>
        <v>-65.8343124</v>
      </c>
      <c r="H50" s="46" t="n">
        <f aca="false">H6*H49</f>
        <v>-70.439907456</v>
      </c>
      <c r="I50" s="46" t="n">
        <f aca="false">I6*I49</f>
        <v>-75.26187453024</v>
      </c>
      <c r="J50" s="46" t="n">
        <f aca="false">J6*J49</f>
        <v>-80.0551378452096</v>
      </c>
      <c r="K50" s="46" t="n">
        <f aca="false">K6*K49</f>
        <v>-84.5634667807792</v>
      </c>
    </row>
    <row r="51" customFormat="false" ht="15" hidden="false" customHeight="false" outlineLevel="0" collapsed="false">
      <c r="A51" s="6" t="s">
        <v>266</v>
      </c>
      <c r="C51" s="47" t="n">
        <f aca="false">C29+C44+C45+C47+C48+C50</f>
        <v>2995</v>
      </c>
      <c r="D51" s="47" t="n">
        <f aca="false">D29+D44+D45+D47+D48+D50</f>
        <v>3769</v>
      </c>
      <c r="E51" s="47" t="n">
        <f aca="false">E29+E44+E45+E47+E48+E50</f>
        <v>2514</v>
      </c>
      <c r="F51" s="48" t="n">
        <f aca="false">F29+F44+F45+F47+F48+F50</f>
        <v>7267.68321528999</v>
      </c>
      <c r="G51" s="48" t="n">
        <f aca="false">G29+G44+G45+G47+G48+G50</f>
        <v>1740.19302016064</v>
      </c>
      <c r="H51" s="48" t="n">
        <f aca="false">H29+H44+H45+H47+H48+H50</f>
        <v>2188.06966758924</v>
      </c>
      <c r="I51" s="48" t="n">
        <f aca="false">I29+I44+I45+I47+I48+I50</f>
        <v>2609.28546701434</v>
      </c>
      <c r="J51" s="48" t="n">
        <f aca="false">J29+J44+J45+J47+J48+J50</f>
        <v>2925.06259942491</v>
      </c>
      <c r="K51" s="48" t="n">
        <f aca="false">K29+K44+K45+K47+K48+K50</f>
        <v>3164.97747858383</v>
      </c>
    </row>
    <row r="52" customFormat="false" ht="15" hidden="false" customHeight="false" outlineLevel="0" collapsed="false">
      <c r="A52" s="9" t="s">
        <v>267</v>
      </c>
      <c r="C52" s="28" t="n">
        <v>206</v>
      </c>
      <c r="D52" s="28" t="n">
        <v>404</v>
      </c>
      <c r="E52" s="28" t="n">
        <v>450</v>
      </c>
      <c r="F52" s="59" t="n">
        <f aca="false">Interim!K51</f>
        <v>339.096226369369</v>
      </c>
      <c r="G52" s="46" t="n">
        <f aca="false">G53*(G51-G44-G45)</f>
        <v>382.842464435341</v>
      </c>
      <c r="H52" s="46" t="n">
        <f aca="false">H53*(H51-H44-H45)</f>
        <v>481.375326869633</v>
      </c>
      <c r="I52" s="46" t="n">
        <f aca="false">I53*(I51-I44-I45)</f>
        <v>574.042802743154</v>
      </c>
      <c r="J52" s="46" t="n">
        <f aca="false">J53*(J51-J44-J45)</f>
        <v>643.513771873481</v>
      </c>
      <c r="K52" s="46" t="n">
        <f aca="false">K53*(K51-K44-K45)</f>
        <v>696.295045288443</v>
      </c>
    </row>
    <row r="53" customFormat="false" ht="15" hidden="false" customHeight="false" outlineLevel="0" collapsed="false">
      <c r="A53" s="43" t="s">
        <v>268</v>
      </c>
      <c r="C53" s="50" t="n">
        <f aca="false">IFERROR(C52/(C51-C44-C45),0)</f>
        <v>0.114444444444444</v>
      </c>
      <c r="D53" s="50" t="n">
        <f aca="false">IFERROR(D52/(D51-D44-D45),0)</f>
        <v>0.267726971504307</v>
      </c>
      <c r="E53" s="50" t="n">
        <f aca="false">IFERROR(E52/(E51-E44-E45),0)</f>
        <v>0.206138341731562</v>
      </c>
      <c r="F53" s="51" t="n">
        <f aca="false">IFERROR(F52/(F51-F44-F45),0)</f>
        <v>0.242493073233977</v>
      </c>
      <c r="G53" s="70" t="n">
        <v>0.22</v>
      </c>
      <c r="H53" s="70" t="n">
        <v>0.22</v>
      </c>
      <c r="I53" s="70" t="n">
        <v>0.22</v>
      </c>
      <c r="J53" s="70" t="n">
        <v>0.22</v>
      </c>
      <c r="K53" s="70" t="n">
        <v>0.22</v>
      </c>
    </row>
    <row r="54" customFormat="false" ht="15" hidden="false" customHeight="false" outlineLevel="0" collapsed="false">
      <c r="A54" s="6" t="s">
        <v>269</v>
      </c>
      <c r="C54" s="47" t="n">
        <f aca="false">C51-C52</f>
        <v>2789</v>
      </c>
      <c r="D54" s="47" t="n">
        <f aca="false">D51-D52</f>
        <v>3365</v>
      </c>
      <c r="E54" s="47" t="n">
        <f aca="false">E51-E52</f>
        <v>2064</v>
      </c>
      <c r="F54" s="48" t="n">
        <f aca="false">F51-F52</f>
        <v>6928.58698892062</v>
      </c>
      <c r="G54" s="48" t="n">
        <f aca="false">G51-G52</f>
        <v>1357.3505557253</v>
      </c>
      <c r="H54" s="48" t="n">
        <f aca="false">H51-H52</f>
        <v>1706.69434071961</v>
      </c>
      <c r="I54" s="48" t="n">
        <f aca="false">I51-I52</f>
        <v>2035.24266427118</v>
      </c>
      <c r="J54" s="48" t="n">
        <f aca="false">J51-J52</f>
        <v>2281.54882755143</v>
      </c>
      <c r="K54" s="48" t="n">
        <f aca="false">K51-K52</f>
        <v>2468.68243329539</v>
      </c>
    </row>
    <row r="55" customFormat="false" ht="15" hidden="false" customHeight="false" outlineLevel="0" collapsed="false">
      <c r="A55" s="43" t="s">
        <v>365</v>
      </c>
      <c r="C55" s="50" t="n">
        <f aca="false">IFERROR(C54/C6,0)</f>
        <v>0.0868766158925957</v>
      </c>
      <c r="D55" s="50" t="n">
        <f aca="false">IFERROR(D54/D6,0)</f>
        <v>0.0868431919066791</v>
      </c>
      <c r="E55" s="50" t="n">
        <f aca="false">IFERROR(E54/E6,0)</f>
        <v>0.0493225320811528</v>
      </c>
      <c r="F55" s="51" t="n">
        <f aca="false">IFERROR(F54/F6,0)</f>
        <v>0.165428848674571</v>
      </c>
      <c r="G55" s="51" t="n">
        <f aca="false">IFERROR(G54/G6,0)</f>
        <v>0.0309265147514163</v>
      </c>
      <c r="H55" s="51" t="n">
        <f aca="false">IFERROR(H54/H6,0)</f>
        <v>0.0363436239986336</v>
      </c>
      <c r="I55" s="51" t="n">
        <f aca="false">IFERROR(I54/I6,0)</f>
        <v>0.0405632202952923</v>
      </c>
      <c r="J55" s="51" t="n">
        <f aca="false">IFERROR(J54/J6,0)</f>
        <v>0.042749576522426</v>
      </c>
      <c r="K55" s="51" t="n">
        <f aca="false">IFERROR(K54/K6,0)</f>
        <v>0.0437898751187996</v>
      </c>
    </row>
    <row r="56" customFormat="false" ht="15" hidden="false" customHeight="false" outlineLevel="0" collapsed="false">
      <c r="A56" s="4" t="s">
        <v>366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customFormat="false" ht="15" hidden="false" customHeight="false" outlineLevel="0" collapsed="false">
      <c r="A57" s="9" t="s">
        <v>367</v>
      </c>
      <c r="C57" s="28" t="n">
        <v>0</v>
      </c>
      <c r="D57" s="28" t="n">
        <v>-57</v>
      </c>
      <c r="E57" s="28" t="n">
        <v>-2</v>
      </c>
      <c r="F57" s="59" t="n">
        <f aca="false">Interim!K54</f>
        <v>1</v>
      </c>
      <c r="G57" s="60" t="n">
        <v>0</v>
      </c>
      <c r="H57" s="60" t="n">
        <v>0</v>
      </c>
      <c r="I57" s="60" t="n">
        <v>0</v>
      </c>
      <c r="J57" s="60" t="n">
        <v>0</v>
      </c>
      <c r="K57" s="60" t="n">
        <v>0</v>
      </c>
      <c r="M57" s="19" t="s">
        <v>368</v>
      </c>
    </row>
    <row r="58" customFormat="false" ht="15" hidden="false" customHeight="false" outlineLevel="0" collapsed="false">
      <c r="A58" s="6" t="s">
        <v>369</v>
      </c>
      <c r="C58" s="47" t="n">
        <f aca="false">C54+C32-C44-C45+C57</f>
        <v>1643</v>
      </c>
      <c r="D58" s="47" t="n">
        <f aca="false">D54+D32-D44-D45+D57</f>
        <v>1119</v>
      </c>
      <c r="E58" s="47" t="n">
        <f aca="false">E54+E32-E44-E45+E57</f>
        <v>1816</v>
      </c>
      <c r="F58" s="48" t="n">
        <f aca="false">F54+F32-F44-F45+F57</f>
        <v>1150.27867088875</v>
      </c>
      <c r="G58" s="48" t="n">
        <f aca="false">G54+G32-G44-G45+G57</f>
        <v>1457.3505557253</v>
      </c>
      <c r="H58" s="48" t="n">
        <f aca="false">H54+H32-H44-H45+H57</f>
        <v>1811.69434071961</v>
      </c>
      <c r="I58" s="48" t="n">
        <f aca="false">I54+I32-I44-I45+I57</f>
        <v>2145.24266427118</v>
      </c>
      <c r="J58" s="48" t="n">
        <f aca="false">J54+J32-J44-J45+J57</f>
        <v>2396.54882755143</v>
      </c>
      <c r="K58" s="48" t="n">
        <f aca="false">K54+K32-K44-K45+K57</f>
        <v>2588.68243329539</v>
      </c>
      <c r="M58" s="19" t="s">
        <v>370</v>
      </c>
    </row>
    <row r="59" customFormat="false" ht="15" hidden="false" customHeight="false" outlineLevel="0" collapsed="false">
      <c r="A59" s="43" t="s">
        <v>272</v>
      </c>
      <c r="C59" s="50" t="n">
        <f aca="false">IFERROR(C58/C6,0)</f>
        <v>0.0511790175373018</v>
      </c>
      <c r="D59" s="50" t="n">
        <f aca="false">IFERROR(D58/D6,0)</f>
        <v>0.0288789098792196</v>
      </c>
      <c r="E59" s="50" t="n">
        <f aca="false">IFERROR(E58/E6,0)</f>
        <v>0.0433961813272158</v>
      </c>
      <c r="F59" s="51" t="n">
        <f aca="false">IFERROR(F58/F6,0)</f>
        <v>0.0274643699334844</v>
      </c>
      <c r="G59" s="51" t="n">
        <f aca="false">IFERROR(G58/G6,0)</f>
        <v>0.0332049618792396</v>
      </c>
      <c r="H59" s="51" t="n">
        <f aca="false">IFERROR(H58/H6,0)</f>
        <v>0.0385795724217399</v>
      </c>
      <c r="I59" s="51" t="n">
        <f aca="false">IFERROR(I58/I6,0)</f>
        <v>0.042755565370802</v>
      </c>
      <c r="J59" s="51" t="n">
        <f aca="false">IFERROR(J58/J6,0)</f>
        <v>0.0449043414087664</v>
      </c>
      <c r="K59" s="51" t="n">
        <f aca="false">IFERROR(K58/K6,0)</f>
        <v>0.0459184538875323</v>
      </c>
    </row>
    <row r="60" customFormat="false" ht="15" hidden="false" customHeight="false" outlineLevel="0" collapsed="false">
      <c r="A60" s="43" t="s">
        <v>313</v>
      </c>
      <c r="D60" s="50" t="n">
        <f aca="false">IFERROR(D58/C58-1,0)</f>
        <v>-0.318928788800974</v>
      </c>
      <c r="E60" s="50" t="n">
        <f aca="false">IFERROR(E58/D58-1,0)</f>
        <v>0.622877569258266</v>
      </c>
      <c r="F60" s="51" t="n">
        <f aca="false">IFERROR(F58/E58-1,0)</f>
        <v>-0.366586634973153</v>
      </c>
      <c r="G60" s="51" t="n">
        <f aca="false">IFERROR(G58/F58-1,0)</f>
        <v>0.266954341246099</v>
      </c>
      <c r="H60" s="51" t="n">
        <f aca="false">IFERROR(H58/G58-1,0)</f>
        <v>0.243142450251412</v>
      </c>
      <c r="I60" s="51" t="n">
        <f aca="false">IFERROR(I58/H58-1,0)</f>
        <v>0.184108497804929</v>
      </c>
      <c r="J60" s="51" t="n">
        <f aca="false">IFERROR(J58/I58-1,0)</f>
        <v>0.1171457977532</v>
      </c>
      <c r="K60" s="51" t="n">
        <f aca="false">IFERROR(K58/J58-1,0)</f>
        <v>0.080170953971449</v>
      </c>
    </row>
    <row r="61" customFormat="false" ht="15" hidden="false" customHeight="false" outlineLevel="0" collapsed="false">
      <c r="A61" s="4" t="s">
        <v>371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5" hidden="false" customHeight="false" outlineLevel="0" collapsed="false">
      <c r="A62" s="9" t="s">
        <v>372</v>
      </c>
      <c r="C62" s="75" t="n">
        <f aca="false">Inputs!$C$14</f>
        <v>4246.202609</v>
      </c>
      <c r="D62" s="75" t="n">
        <f aca="false">Inputs!$C$14</f>
        <v>4246.202609</v>
      </c>
      <c r="E62" s="75" t="n">
        <f aca="false">Inputs!$C$14</f>
        <v>4246.202609</v>
      </c>
      <c r="F62" s="76" t="n">
        <f aca="false">Inputs!$C$14</f>
        <v>4246.202609</v>
      </c>
      <c r="G62" s="66" t="n">
        <f aca="false">F62*(1+Inputs!$C$18)</f>
        <v>4267.433622045</v>
      </c>
      <c r="H62" s="66" t="n">
        <f aca="false">G62*(1+Inputs!$C$18)</f>
        <v>4288.77079015522</v>
      </c>
      <c r="I62" s="66" t="n">
        <f aca="false">H62*(1+Inputs!$C$18)</f>
        <v>4310.214644106</v>
      </c>
      <c r="J62" s="66" t="n">
        <f aca="false">I62*(1+Inputs!$C$18)</f>
        <v>4331.76571732653</v>
      </c>
      <c r="K62" s="66" t="n">
        <f aca="false">J62*(1+Inputs!$C$18)</f>
        <v>4353.42454591316</v>
      </c>
    </row>
    <row r="63" customFormat="false" ht="15" hidden="false" customHeight="false" outlineLevel="0" collapsed="false">
      <c r="A63" s="9" t="s">
        <v>373</v>
      </c>
      <c r="C63" s="75" t="n">
        <f aca="false">Inputs!$C$17</f>
        <v>4419.234909</v>
      </c>
      <c r="D63" s="75" t="n">
        <f aca="false">Inputs!$C$17</f>
        <v>4419.234909</v>
      </c>
      <c r="E63" s="75" t="n">
        <f aca="false">Inputs!$C$17</f>
        <v>4419.234909</v>
      </c>
      <c r="F63" s="76" t="n">
        <f aca="false">Inputs!$C$17</f>
        <v>4419.234909</v>
      </c>
      <c r="G63" s="66" t="n">
        <f aca="false">F63*(1+Inputs!$C$18)</f>
        <v>4441.331083545</v>
      </c>
      <c r="H63" s="66" t="n">
        <f aca="false">G63*(1+Inputs!$C$18)</f>
        <v>4463.53773896272</v>
      </c>
      <c r="I63" s="66" t="n">
        <f aca="false">H63*(1+Inputs!$C$18)</f>
        <v>4485.85542765754</v>
      </c>
      <c r="J63" s="66" t="n">
        <f aca="false">I63*(1+Inputs!$C$18)</f>
        <v>4508.28470479582</v>
      </c>
      <c r="K63" s="66" t="n">
        <f aca="false">J63*(1+Inputs!$C$18)</f>
        <v>4530.8261283198</v>
      </c>
    </row>
    <row r="64" customFormat="false" ht="15" hidden="false" customHeight="false" outlineLevel="0" collapsed="false">
      <c r="A64" s="9" t="s">
        <v>374</v>
      </c>
      <c r="C64" s="77" t="n">
        <f aca="false">C54/C63</f>
        <v>0.631104717769146</v>
      </c>
      <c r="D64" s="77" t="n">
        <f aca="false">D54/D63</f>
        <v>0.761444021259654</v>
      </c>
      <c r="E64" s="77" t="n">
        <f aca="false">E54/E63</f>
        <v>0.467049170840988</v>
      </c>
      <c r="F64" s="78" t="n">
        <f aca="false">F54/F63</f>
        <v>1.56782500400922</v>
      </c>
      <c r="G64" s="78" t="n">
        <f aca="false">G54/G63</f>
        <v>0.305617962316352</v>
      </c>
      <c r="H64" s="78" t="n">
        <f aca="false">H54/H63</f>
        <v>0.382363595992855</v>
      </c>
      <c r="I64" s="78" t="n">
        <f aca="false">I54/I63</f>
        <v>0.453702241878527</v>
      </c>
      <c r="J64" s="78" t="n">
        <f aca="false">J54/J63</f>
        <v>0.506079135846138</v>
      </c>
      <c r="K64" s="78" t="n">
        <f aca="false">K54/K63</f>
        <v>0.544863643710571</v>
      </c>
      <c r="M64" s="19" t="s">
        <v>375</v>
      </c>
    </row>
    <row r="65" customFormat="false" ht="15" hidden="false" customHeight="false" outlineLevel="0" collapsed="false">
      <c r="A65" s="6" t="s">
        <v>376</v>
      </c>
      <c r="C65" s="79" t="n">
        <f aca="false">C58/C63</f>
        <v>0.371783811866155</v>
      </c>
      <c r="D65" s="79" t="n">
        <f aca="false">D58/D63</f>
        <v>0.253211251051873</v>
      </c>
      <c r="E65" s="79" t="n">
        <f aca="false">E58/E63</f>
        <v>0.410930859615908</v>
      </c>
      <c r="F65" s="80" t="n">
        <f aca="false">F58/F63</f>
        <v>0.260289098582687</v>
      </c>
      <c r="G65" s="80" t="n">
        <f aca="false">G58/G63</f>
        <v>0.328133734754597</v>
      </c>
      <c r="H65" s="80" t="n">
        <f aca="false">H58/H63</f>
        <v>0.405887537346245</v>
      </c>
      <c r="I65" s="80" t="n">
        <f aca="false">I58/I63</f>
        <v>0.478223763308263</v>
      </c>
      <c r="J65" s="80" t="n">
        <f aca="false">J58/J63</f>
        <v>0.531587728920942</v>
      </c>
      <c r="K65" s="80" t="n">
        <f aca="false">K58/K63</f>
        <v>0.571348879868706</v>
      </c>
    </row>
    <row r="66" customFormat="false" ht="15" hidden="false" customHeight="false" outlineLevel="0" collapsed="false">
      <c r="A66" s="6" t="s">
        <v>377</v>
      </c>
      <c r="C66" s="40" t="n">
        <f aca="false">C65*Inputs!$C$6</f>
        <v>2.91664400408999</v>
      </c>
      <c r="D66" s="40" t="n">
        <f aca="false">D65*Inputs!$C$6</f>
        <v>1.98644226450194</v>
      </c>
      <c r="E66" s="40" t="n">
        <f aca="false">E65*Inputs!$C$6</f>
        <v>3.2237525936868</v>
      </c>
      <c r="F66" s="81" t="n">
        <f aca="false">F65*Inputs!$C$6</f>
        <v>2.04196797838118</v>
      </c>
      <c r="G66" s="81" t="n">
        <f aca="false">G65*Inputs!$C$6</f>
        <v>2.57420914914981</v>
      </c>
      <c r="H66" s="81" t="n">
        <f aca="false">H65*Inputs!$C$6</f>
        <v>3.18418773048129</v>
      </c>
      <c r="I66" s="81" t="n">
        <f aca="false">I65*Inputs!$C$6</f>
        <v>3.75166542315332</v>
      </c>
      <c r="J66" s="81" t="n">
        <f aca="false">J65*Inputs!$C$6</f>
        <v>4.17030573338479</v>
      </c>
      <c r="K66" s="81" t="n">
        <f aca="false">K65*Inputs!$C$6</f>
        <v>4.48223196257</v>
      </c>
    </row>
    <row r="67" customFormat="false" ht="15" hidden="false" customHeight="false" outlineLevel="0" collapsed="false">
      <c r="A67" s="43" t="s">
        <v>313</v>
      </c>
      <c r="D67" s="50" t="n">
        <f aca="false">IFERROR(D65/C65-1,0)</f>
        <v>-0.318928788800974</v>
      </c>
      <c r="E67" s="50" t="n">
        <f aca="false">IFERROR(E65/D65-1,0)</f>
        <v>0.622877569258266</v>
      </c>
      <c r="F67" s="51" t="n">
        <f aca="false">IFERROR(F65/E65-1,0)</f>
        <v>-0.366586634973153</v>
      </c>
      <c r="G67" s="51" t="n">
        <f aca="false">IFERROR(G65/F65-1,0)</f>
        <v>0.260651085817014</v>
      </c>
      <c r="H67" s="51" t="n">
        <f aca="false">IFERROR(H65/G65-1,0)</f>
        <v>0.236957661941704</v>
      </c>
      <c r="I67" s="51" t="n">
        <f aca="false">IFERROR(I65/H65-1,0)</f>
        <v>0.178217410751173</v>
      </c>
      <c r="J67" s="51" t="n">
        <f aca="false">IFERROR(J65/I65-1,0)</f>
        <v>0.111587858460896</v>
      </c>
      <c r="K67" s="51" t="n">
        <f aca="false">IFERROR(K65/J65-1,0)</f>
        <v>0.0747969691258199</v>
      </c>
    </row>
    <row r="68" customFormat="false" ht="15" hidden="false" customHeight="false" outlineLevel="0" collapsed="false">
      <c r="A68" s="43" t="s">
        <v>378</v>
      </c>
      <c r="C68" s="82" t="n">
        <v>0</v>
      </c>
      <c r="D68" s="82" t="n">
        <v>0</v>
      </c>
      <c r="E68" s="82" t="n">
        <v>0</v>
      </c>
      <c r="F68" s="61" t="n">
        <f aca="false">Inputs!$C$60</f>
        <v>0.5</v>
      </c>
      <c r="G68" s="61" t="n">
        <f aca="false">Inputs!$C$60</f>
        <v>0.5</v>
      </c>
      <c r="H68" s="61" t="n">
        <f aca="false">Inputs!$C$60</f>
        <v>0.5</v>
      </c>
      <c r="I68" s="61" t="n">
        <f aca="false">Inputs!$C$60</f>
        <v>0.5</v>
      </c>
      <c r="J68" s="61" t="n">
        <f aca="false">Inputs!$C$60</f>
        <v>0.5</v>
      </c>
      <c r="K68" s="61" t="n">
        <f aca="false">Inputs!$C$60</f>
        <v>0.5</v>
      </c>
    </row>
    <row r="69" customFormat="false" ht="15" hidden="false" customHeight="false" outlineLevel="0" collapsed="false">
      <c r="A69" s="9" t="s">
        <v>379</v>
      </c>
      <c r="C69" s="26" t="n">
        <f aca="false">C58*C68</f>
        <v>0</v>
      </c>
      <c r="D69" s="26" t="n">
        <f aca="false">D58*D68</f>
        <v>0</v>
      </c>
      <c r="E69" s="26" t="n">
        <f aca="false">E58*E68</f>
        <v>0</v>
      </c>
      <c r="F69" s="46" t="n">
        <f aca="false">F58*F68</f>
        <v>575.139335444377</v>
      </c>
      <c r="G69" s="46" t="n">
        <f aca="false">G58*G68</f>
        <v>728.67527786265</v>
      </c>
      <c r="H69" s="46" t="n">
        <f aca="false">H58*H68</f>
        <v>905.847170359803</v>
      </c>
      <c r="I69" s="46" t="n">
        <f aca="false">I58*I68</f>
        <v>1072.62133213559</v>
      </c>
      <c r="J69" s="46" t="n">
        <f aca="false">J58*J68</f>
        <v>1198.27441377572</v>
      </c>
      <c r="K69" s="46" t="n">
        <f aca="false">K58*K68</f>
        <v>1294.34121664769</v>
      </c>
      <c r="M69" s="19" t="s">
        <v>380</v>
      </c>
    </row>
    <row r="70" customFormat="false" ht="15" hidden="false" customHeight="false" outlineLevel="0" collapsed="false">
      <c r="A70" s="9" t="s">
        <v>381</v>
      </c>
      <c r="C70" s="39" t="n">
        <f aca="false">C69/C63*Inputs!$C$6</f>
        <v>0</v>
      </c>
      <c r="D70" s="39" t="n">
        <f aca="false">D69/D63*Inputs!$C$6</f>
        <v>0</v>
      </c>
      <c r="E70" s="39" t="n">
        <f aca="false">E69/E63*Inputs!$C$6</f>
        <v>0</v>
      </c>
      <c r="F70" s="62" t="n">
        <f aca="false">F69/F63*Inputs!$C$6</f>
        <v>1.02098398919059</v>
      </c>
      <c r="G70" s="62" t="n">
        <f aca="false">G69/G63*Inputs!$C$6</f>
        <v>1.28710457457491</v>
      </c>
      <c r="H70" s="62" t="n">
        <f aca="false">H69/H63*Inputs!$C$6</f>
        <v>1.59209386524065</v>
      </c>
      <c r="I70" s="62" t="n">
        <f aca="false">I69/I63*Inputs!$C$6</f>
        <v>1.87583271157666</v>
      </c>
      <c r="J70" s="62" t="n">
        <f aca="false">J69/J63*Inputs!$C$6</f>
        <v>2.08515286669239</v>
      </c>
      <c r="K70" s="62" t="n">
        <f aca="false">K69/K63*Inputs!$C$6</f>
        <v>2.241115981285</v>
      </c>
    </row>
    <row r="71" customFormat="false" ht="15" hidden="false" customHeight="false" outlineLevel="0" collapsed="false">
      <c r="A71" s="4" t="s">
        <v>382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customFormat="false" ht="15" hidden="false" customHeight="false" outlineLevel="0" collapsed="false">
      <c r="A72" s="9" t="s">
        <v>383</v>
      </c>
      <c r="C72" s="83" t="n">
        <f aca="false">IFERROR(Inputs!$C$5/C66,0)</f>
        <v>10.5737964443907</v>
      </c>
      <c r="D72" s="83" t="n">
        <f aca="false">IFERROR(Inputs!$C$5/D66,0)</f>
        <v>15.5252435729525</v>
      </c>
      <c r="E72" s="83" t="n">
        <f aca="false">IFERROR(Inputs!$C$5/E66,0)</f>
        <v>9.56649094610894</v>
      </c>
      <c r="F72" s="84" t="n">
        <f aca="false">IFERROR(Inputs!$C$5/F66,0)</f>
        <v>15.1030771914695</v>
      </c>
      <c r="G72" s="84" t="n">
        <f aca="false">IFERROR(Inputs!$C$5/G66,0)</f>
        <v>11.9803785213745</v>
      </c>
      <c r="H72" s="84" t="n">
        <f aca="false">IFERROR(Inputs!$C$5/H66,0)</f>
        <v>9.68535859389752</v>
      </c>
      <c r="I72" s="84" t="n">
        <f aca="false">IFERROR(Inputs!$C$5/I66,0)</f>
        <v>8.22034923734713</v>
      </c>
      <c r="J72" s="84" t="n">
        <f aca="false">IFERROR(Inputs!$C$5/J66,0)</f>
        <v>7.39514126101469</v>
      </c>
      <c r="K72" s="84" t="n">
        <f aca="false">IFERROR(Inputs!$C$5/K66,0)</f>
        <v>6.88050066519027</v>
      </c>
    </row>
    <row r="73" customFormat="false" ht="15" hidden="false" customHeight="false" outlineLevel="0" collapsed="false">
      <c r="A73" s="9" t="s">
        <v>384</v>
      </c>
      <c r="C73" s="30" t="n">
        <f aca="false">IFERROR(C70/Inputs!$C$5,0)</f>
        <v>0</v>
      </c>
      <c r="D73" s="30" t="n">
        <f aca="false">IFERROR(D70/Inputs!$C$5,0)</f>
        <v>0</v>
      </c>
      <c r="E73" s="30" t="n">
        <f aca="false">IFERROR(E70/Inputs!$C$5,0)</f>
        <v>0</v>
      </c>
      <c r="F73" s="85" t="n">
        <f aca="false">IFERROR(F70/Inputs!$C$5,0)</f>
        <v>0.0331058362253758</v>
      </c>
      <c r="G73" s="85" t="n">
        <f aca="false">IFERROR(G70/Inputs!$C$5,0)</f>
        <v>0.0417349083844003</v>
      </c>
      <c r="H73" s="85" t="n">
        <f aca="false">IFERROR(H70/Inputs!$C$5,0)</f>
        <v>0.051624314696519</v>
      </c>
      <c r="I73" s="85" t="n">
        <f aca="false">IFERROR(I70/Inputs!$C$5,0)</f>
        <v>0.0608246663935363</v>
      </c>
      <c r="J73" s="85" t="n">
        <f aca="false">IFERROR(J70/Inputs!$C$5,0)</f>
        <v>0.0676119606579895</v>
      </c>
      <c r="K73" s="85" t="n">
        <f aca="false">IFERROR(K70/Inputs!$C$5,0)</f>
        <v>0.0726691303918613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2" min="3" style="0" width="11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207</v>
      </c>
      <c r="C4" s="44" t="s">
        <v>308</v>
      </c>
      <c r="D4" s="44" t="s">
        <v>309</v>
      </c>
      <c r="E4" s="44" t="s">
        <v>212</v>
      </c>
      <c r="F4" s="44" t="s">
        <v>217</v>
      </c>
      <c r="G4" s="44" t="s">
        <v>158</v>
      </c>
      <c r="H4" s="44" t="s">
        <v>159</v>
      </c>
      <c r="I4" s="44" t="s">
        <v>160</v>
      </c>
      <c r="J4" s="44" t="s">
        <v>161</v>
      </c>
      <c r="K4" s="44" t="s">
        <v>162</v>
      </c>
    </row>
    <row r="5" customFormat="false" ht="15" hidden="false" customHeight="false" outlineLevel="0" collapsed="false">
      <c r="A5" s="4" t="s">
        <v>387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9" t="s">
        <v>279</v>
      </c>
      <c r="C6" s="28" t="n">
        <v>3494</v>
      </c>
      <c r="D6" s="28" t="n">
        <v>2905</v>
      </c>
      <c r="E6" s="28" t="n">
        <v>4481</v>
      </c>
      <c r="F6" s="59" t="n">
        <f aca="false">'Cash Flow'!F45</f>
        <v>1710.88369679533</v>
      </c>
      <c r="G6" s="59" t="n">
        <f aca="false">'Cash Flow'!G45</f>
        <v>2703.9375384129</v>
      </c>
      <c r="H6" s="59" t="n">
        <f aca="false">'Cash Flow'!H45</f>
        <v>3986.38140047345</v>
      </c>
      <c r="I6" s="59" t="n">
        <f aca="false">'Cash Flow'!I45</f>
        <v>5434.8656107609</v>
      </c>
      <c r="J6" s="59" t="n">
        <f aca="false">'Cash Flow'!J45</f>
        <v>6964.19777945734</v>
      </c>
      <c r="K6" s="59" t="n">
        <f aca="false">'Cash Flow'!K45</f>
        <v>8527.85873366707</v>
      </c>
    </row>
    <row r="7" customFormat="false" ht="15" hidden="false" customHeight="false" outlineLevel="0" collapsed="false">
      <c r="A7" s="9" t="s">
        <v>388</v>
      </c>
      <c r="C7" s="28" t="n">
        <v>437</v>
      </c>
      <c r="D7" s="28" t="n">
        <v>485</v>
      </c>
      <c r="E7" s="28" t="n">
        <v>550</v>
      </c>
      <c r="F7" s="59" t="n">
        <f aca="false">Interim!I64</f>
        <v>622</v>
      </c>
      <c r="G7" s="46" t="n">
        <f aca="false">F7</f>
        <v>622</v>
      </c>
      <c r="H7" s="46" t="n">
        <f aca="false">G7</f>
        <v>622</v>
      </c>
      <c r="I7" s="46" t="n">
        <f aca="false">H7</f>
        <v>622</v>
      </c>
      <c r="J7" s="46" t="n">
        <f aca="false">I7</f>
        <v>622</v>
      </c>
      <c r="K7" s="46" t="n">
        <f aca="false">J7</f>
        <v>622</v>
      </c>
    </row>
    <row r="8" customFormat="false" ht="15" hidden="false" customHeight="false" outlineLevel="0" collapsed="false">
      <c r="A8" s="9" t="s">
        <v>389</v>
      </c>
      <c r="C8" s="28" t="n">
        <v>6265</v>
      </c>
      <c r="D8" s="28" t="n">
        <v>8086</v>
      </c>
      <c r="E8" s="28" t="n">
        <v>9723</v>
      </c>
      <c r="F8" s="59" t="n">
        <f aca="false">Interim!I66</f>
        <v>11545</v>
      </c>
      <c r="G8" s="46" t="n">
        <f aca="false">F8</f>
        <v>11545</v>
      </c>
      <c r="H8" s="46" t="n">
        <f aca="false">G8</f>
        <v>11545</v>
      </c>
      <c r="I8" s="46" t="n">
        <f aca="false">H8</f>
        <v>11545</v>
      </c>
      <c r="J8" s="46" t="n">
        <f aca="false">I8</f>
        <v>11545</v>
      </c>
      <c r="K8" s="46" t="n">
        <f aca="false">J8</f>
        <v>11545</v>
      </c>
    </row>
    <row r="9" customFormat="false" ht="15" hidden="false" customHeight="false" outlineLevel="0" collapsed="false">
      <c r="A9" s="9" t="s">
        <v>283</v>
      </c>
      <c r="C9" s="28" t="n">
        <v>823</v>
      </c>
      <c r="D9" s="28" t="n">
        <v>1303</v>
      </c>
      <c r="E9" s="28" t="n">
        <v>718</v>
      </c>
      <c r="F9" s="46" t="n">
        <f aca="false">F62/365*'Income Statement'!F6</f>
        <v>803.227561643836</v>
      </c>
      <c r="G9" s="46" t="n">
        <f aca="false">G62/365*'Income Statement'!G6</f>
        <v>841.717236164384</v>
      </c>
      <c r="H9" s="46" t="n">
        <f aca="false">H62/365*'Income Statement'!H6</f>
        <v>900.601556515069</v>
      </c>
      <c r="I9" s="46" t="n">
        <f aca="false">I62/365*'Income Statement'!I6</f>
        <v>962.252277098959</v>
      </c>
      <c r="J9" s="46" t="n">
        <f aca="false">J62/365*'Income Statement'!J6</f>
        <v>1023.53600897985</v>
      </c>
      <c r="K9" s="46" t="n">
        <f aca="false">K62/365*'Income Statement'!K6</f>
        <v>1081.17674422914</v>
      </c>
    </row>
    <row r="10" customFormat="false" ht="15" hidden="false" customHeight="false" outlineLevel="0" collapsed="false">
      <c r="A10" s="9" t="s">
        <v>284</v>
      </c>
      <c r="C10" s="28" t="n">
        <v>273</v>
      </c>
      <c r="D10" s="28" t="n">
        <v>480</v>
      </c>
      <c r="E10" s="28" t="n">
        <v>534</v>
      </c>
      <c r="F10" s="46" t="n">
        <f aca="false">F63*'Income Statement'!F6</f>
        <v>544.47354</v>
      </c>
      <c r="G10" s="46" t="n">
        <f aca="false">G63*'Income Statement'!G6</f>
        <v>570.5640408</v>
      </c>
      <c r="H10" s="46" t="n">
        <f aca="false">H63*'Income Statement'!H6</f>
        <v>610.479197952</v>
      </c>
      <c r="I10" s="46" t="n">
        <f aca="false">I63*'Income Statement'!I6</f>
        <v>652.26957926208</v>
      </c>
      <c r="J10" s="46" t="n">
        <f aca="false">J63*'Income Statement'!J6</f>
        <v>693.811194658483</v>
      </c>
      <c r="K10" s="46" t="n">
        <f aca="false">K63*'Income Statement'!K6</f>
        <v>732.883378766753</v>
      </c>
    </row>
    <row r="11" customFormat="false" ht="15" hidden="false" customHeight="false" outlineLevel="0" collapsed="false">
      <c r="A11" s="9" t="s">
        <v>285</v>
      </c>
      <c r="C11" s="28" t="n">
        <v>1637</v>
      </c>
      <c r="D11" s="28" t="n">
        <v>1500</v>
      </c>
      <c r="E11" s="28" t="n">
        <v>1261</v>
      </c>
      <c r="F11" s="46" t="n">
        <f aca="false">F64/365*'Income Statement'!F11</f>
        <v>1191.1753650137</v>
      </c>
      <c r="G11" s="46" t="n">
        <f aca="false">G64/365*'Income Statement'!G11</f>
        <v>1234.23102631874</v>
      </c>
      <c r="H11" s="46" t="n">
        <f aca="false">H64/365*'Income Statement'!H11</f>
        <v>1309.02436239465</v>
      </c>
      <c r="I11" s="46" t="n">
        <f aca="false">I64/365*'Income Statement'!I11</f>
        <v>1386.3409119234</v>
      </c>
      <c r="J11" s="46" t="n">
        <f aca="false">J64/365*'Income Statement'!J11</f>
        <v>1461.60942082322</v>
      </c>
      <c r="K11" s="46" t="n">
        <f aca="false">K64/365*'Income Statement'!K11</f>
        <v>1538.40638936364</v>
      </c>
    </row>
    <row r="12" customFormat="false" ht="15" hidden="false" customHeight="false" outlineLevel="0" collapsed="false">
      <c r="A12" s="9" t="s">
        <v>286</v>
      </c>
      <c r="C12" s="28" t="n">
        <v>88</v>
      </c>
      <c r="D12" s="28" t="n">
        <v>127</v>
      </c>
      <c r="E12" s="28" t="n">
        <v>326</v>
      </c>
      <c r="F12" s="46" t="n">
        <f aca="false">F65*'Income Statement'!F6</f>
        <v>335.06064</v>
      </c>
      <c r="G12" s="46" t="n">
        <f aca="false">G65*'Income Statement'!G6</f>
        <v>351.1163328</v>
      </c>
      <c r="H12" s="46" t="n">
        <f aca="false">H65*'Income Statement'!H6</f>
        <v>375.679506432</v>
      </c>
      <c r="I12" s="46" t="n">
        <f aca="false">I65*'Income Statement'!I6</f>
        <v>401.39666416128</v>
      </c>
      <c r="J12" s="46" t="n">
        <f aca="false">J65*'Income Statement'!J6</f>
        <v>426.960735174451</v>
      </c>
      <c r="K12" s="46" t="n">
        <f aca="false">K65*'Income Statement'!K6</f>
        <v>451.005156164156</v>
      </c>
    </row>
    <row r="13" customFormat="false" ht="15" hidden="false" customHeight="false" outlineLevel="0" collapsed="false">
      <c r="A13" s="6" t="s">
        <v>390</v>
      </c>
      <c r="C13" s="47" t="n">
        <f aca="false">SUM(C6:C12)</f>
        <v>13017</v>
      </c>
      <c r="D13" s="47" t="n">
        <f aca="false">SUM(D6:D12)</f>
        <v>14886</v>
      </c>
      <c r="E13" s="47" t="n">
        <f aca="false">SUM(E6:E12)</f>
        <v>17593</v>
      </c>
      <c r="F13" s="48" t="n">
        <f aca="false">SUM(F6:F12)</f>
        <v>16751.8208034529</v>
      </c>
      <c r="G13" s="48" t="n">
        <f aca="false">SUM(G6:G12)</f>
        <v>17868.566174496</v>
      </c>
      <c r="H13" s="48" t="n">
        <f aca="false">SUM(H6:H12)</f>
        <v>19349.1660237672</v>
      </c>
      <c r="I13" s="48" t="n">
        <f aca="false">SUM(I6:I12)</f>
        <v>21004.1250432066</v>
      </c>
      <c r="J13" s="48" t="n">
        <f aca="false">SUM(J6:J12)</f>
        <v>22737.1151390934</v>
      </c>
      <c r="K13" s="48" t="n">
        <f aca="false">SUM(K6:K12)</f>
        <v>24498.3304021908</v>
      </c>
    </row>
    <row r="14" customFormat="false" ht="15" hidden="false" customHeight="false" outlineLevel="0" collapsed="false">
      <c r="A14" s="9" t="s">
        <v>391</v>
      </c>
      <c r="C14" s="28" t="n">
        <v>396</v>
      </c>
      <c r="D14" s="28" t="n">
        <v>551</v>
      </c>
      <c r="E14" s="28" t="n">
        <v>619</v>
      </c>
      <c r="F14" s="46" t="n">
        <f aca="false">E14-'Cash Flow'!F27-'Income Statement'!F36</f>
        <v>732.082966</v>
      </c>
      <c r="G14" s="46" t="n">
        <f aca="false">F14-'Cash Flow'!G27-'Income Statement'!G36</f>
        <v>872.52949912</v>
      </c>
      <c r="H14" s="46" t="n">
        <f aca="false">G14-'Cash Flow'!H27-'Income Statement'!H36</f>
        <v>1022.8013016928</v>
      </c>
      <c r="I14" s="46" t="n">
        <f aca="false">H14-'Cash Flow'!I27-'Income Statement'!I36</f>
        <v>1183.35996735731</v>
      </c>
      <c r="J14" s="46" t="n">
        <f aca="false">I14-'Cash Flow'!J27-'Income Statement'!J36</f>
        <v>1354.14426142709</v>
      </c>
      <c r="K14" s="46" t="n">
        <f aca="false">J14-'Cash Flow'!K27-'Income Statement'!K36</f>
        <v>1534.54632389275</v>
      </c>
    </row>
    <row r="15" customFormat="false" ht="15" hidden="false" customHeight="false" outlineLevel="0" collapsed="false">
      <c r="A15" s="9" t="s">
        <v>392</v>
      </c>
      <c r="C15" s="28" t="n">
        <v>497</v>
      </c>
      <c r="D15" s="28" t="n">
        <v>959</v>
      </c>
      <c r="E15" s="28" t="n">
        <v>1105</v>
      </c>
      <c r="F15" s="46" t="n">
        <f aca="false">F70*'Income Statement'!F6</f>
        <v>1130.82966</v>
      </c>
      <c r="G15" s="46" t="n">
        <f aca="false">G70*'Income Statement'!G6</f>
        <v>1185.0176232</v>
      </c>
      <c r="H15" s="46" t="n">
        <f aca="false">H70*'Income Statement'!H6</f>
        <v>1267.918334208</v>
      </c>
      <c r="I15" s="46" t="n">
        <f aca="false">I70*'Income Statement'!I6</f>
        <v>1354.71374154432</v>
      </c>
      <c r="J15" s="46" t="n">
        <f aca="false">J70*'Income Statement'!J6</f>
        <v>1440.99248121377</v>
      </c>
      <c r="K15" s="46" t="n">
        <f aca="false">K70*'Income Statement'!K6</f>
        <v>1522.14240205402</v>
      </c>
    </row>
    <row r="16" customFormat="false" ht="15" hidden="false" customHeight="false" outlineLevel="0" collapsed="false">
      <c r="A16" s="9" t="s">
        <v>393</v>
      </c>
      <c r="C16" s="28" t="n">
        <v>40</v>
      </c>
      <c r="D16" s="28" t="n">
        <v>39</v>
      </c>
      <c r="E16" s="28" t="n">
        <v>38</v>
      </c>
      <c r="F16" s="59" t="n">
        <f aca="false">Interim!I71</f>
        <v>135</v>
      </c>
      <c r="G16" s="46" t="n">
        <f aca="false">F16</f>
        <v>135</v>
      </c>
      <c r="H16" s="46" t="n">
        <f aca="false">G16</f>
        <v>135</v>
      </c>
      <c r="I16" s="46" t="n">
        <f aca="false">H16</f>
        <v>135</v>
      </c>
      <c r="J16" s="46" t="n">
        <f aca="false">I16</f>
        <v>135</v>
      </c>
      <c r="K16" s="46" t="n">
        <f aca="false">J16</f>
        <v>135</v>
      </c>
    </row>
    <row r="17" customFormat="false" ht="15" hidden="false" customHeight="false" outlineLevel="0" collapsed="false">
      <c r="A17" s="9" t="s">
        <v>394</v>
      </c>
      <c r="C17" s="28" t="n">
        <v>78</v>
      </c>
      <c r="D17" s="28" t="n">
        <v>34</v>
      </c>
      <c r="E17" s="28" t="n">
        <v>32</v>
      </c>
      <c r="F17" s="59" t="n">
        <f aca="false">Interim!I65</f>
        <v>38</v>
      </c>
      <c r="G17" s="46" t="n">
        <f aca="false">F17</f>
        <v>38</v>
      </c>
      <c r="H17" s="46" t="n">
        <f aca="false">G17</f>
        <v>38</v>
      </c>
      <c r="I17" s="46" t="n">
        <f aca="false">H17</f>
        <v>38</v>
      </c>
      <c r="J17" s="46" t="n">
        <f aca="false">I17</f>
        <v>38</v>
      </c>
      <c r="K17" s="46" t="n">
        <f aca="false">J17</f>
        <v>38</v>
      </c>
    </row>
    <row r="18" customFormat="false" ht="15" hidden="false" customHeight="false" outlineLevel="0" collapsed="false">
      <c r="A18" s="9" t="s">
        <v>288</v>
      </c>
      <c r="C18" s="28" t="n">
        <v>81</v>
      </c>
      <c r="D18" s="28" t="n">
        <v>94</v>
      </c>
      <c r="E18" s="28" t="n">
        <v>102</v>
      </c>
      <c r="F18" s="59" t="n">
        <f aca="false">Interim!I72</f>
        <v>125</v>
      </c>
      <c r="G18" s="46" t="n">
        <f aca="false">F18</f>
        <v>125</v>
      </c>
      <c r="H18" s="46" t="n">
        <f aca="false">G18</f>
        <v>125</v>
      </c>
      <c r="I18" s="46" t="n">
        <f aca="false">H18</f>
        <v>125</v>
      </c>
      <c r="J18" s="46" t="n">
        <f aca="false">I18</f>
        <v>125</v>
      </c>
      <c r="K18" s="46" t="n">
        <f aca="false">J18</f>
        <v>125</v>
      </c>
    </row>
    <row r="19" customFormat="false" ht="15" hidden="false" customHeight="false" outlineLevel="0" collapsed="false">
      <c r="A19" s="9" t="s">
        <v>289</v>
      </c>
      <c r="C19" s="28" t="n">
        <v>470</v>
      </c>
      <c r="D19" s="28" t="n">
        <v>251</v>
      </c>
      <c r="E19" s="28" t="n">
        <v>266</v>
      </c>
      <c r="F19" s="46" t="n">
        <f aca="false">E19+'Income Statement'!F45</f>
        <v>251</v>
      </c>
      <c r="G19" s="46" t="n">
        <f aca="false">F19+'Income Statement'!G45</f>
        <v>251</v>
      </c>
      <c r="H19" s="46" t="n">
        <f aca="false">G19+'Income Statement'!H45</f>
        <v>251</v>
      </c>
      <c r="I19" s="46" t="n">
        <f aca="false">H19+'Income Statement'!I45</f>
        <v>251</v>
      </c>
      <c r="J19" s="46" t="n">
        <f aca="false">I19+'Income Statement'!J45</f>
        <v>251</v>
      </c>
      <c r="K19" s="46" t="n">
        <f aca="false">J19+'Income Statement'!K45</f>
        <v>251</v>
      </c>
    </row>
    <row r="20" customFormat="false" ht="15" hidden="false" customHeight="false" outlineLevel="0" collapsed="false">
      <c r="A20" s="9" t="s">
        <v>395</v>
      </c>
      <c r="C20" s="28" t="n">
        <v>82</v>
      </c>
      <c r="D20" s="28" t="n">
        <v>169</v>
      </c>
      <c r="E20" s="28" t="n">
        <v>158</v>
      </c>
      <c r="F20" s="59" t="n">
        <f aca="false">Interim!I74</f>
        <v>162</v>
      </c>
      <c r="G20" s="46" t="n">
        <f aca="false">F20</f>
        <v>162</v>
      </c>
      <c r="H20" s="46" t="n">
        <f aca="false">G20</f>
        <v>162</v>
      </c>
      <c r="I20" s="46" t="n">
        <f aca="false">H20</f>
        <v>162</v>
      </c>
      <c r="J20" s="46" t="n">
        <f aca="false">I20</f>
        <v>162</v>
      </c>
      <c r="K20" s="46" t="n">
        <f aca="false">J20</f>
        <v>162</v>
      </c>
    </row>
    <row r="21" customFormat="false" ht="15" hidden="false" customHeight="false" outlineLevel="0" collapsed="false">
      <c r="A21" s="9" t="s">
        <v>396</v>
      </c>
      <c r="C21" s="28" t="n">
        <v>0</v>
      </c>
      <c r="D21" s="28" t="n">
        <v>211</v>
      </c>
      <c r="E21" s="28" t="n">
        <v>0</v>
      </c>
      <c r="F21" s="46" t="n">
        <f aca="false">E21</f>
        <v>0</v>
      </c>
      <c r="G21" s="46" t="n">
        <f aca="false">F21</f>
        <v>0</v>
      </c>
      <c r="H21" s="46" t="n">
        <f aca="false">G21</f>
        <v>0</v>
      </c>
      <c r="I21" s="46" t="n">
        <f aca="false">H21</f>
        <v>0</v>
      </c>
      <c r="J21" s="46" t="n">
        <f aca="false">I21</f>
        <v>0</v>
      </c>
      <c r="K21" s="46" t="n">
        <f aca="false">J21</f>
        <v>0</v>
      </c>
    </row>
    <row r="22" customFormat="false" ht="15" hidden="false" customHeight="false" outlineLevel="0" collapsed="false">
      <c r="A22" s="9" t="s">
        <v>291</v>
      </c>
      <c r="C22" s="28" t="n">
        <v>157</v>
      </c>
      <c r="D22" s="28" t="n">
        <v>127</v>
      </c>
      <c r="E22" s="28" t="n">
        <v>120</v>
      </c>
      <c r="F22" s="59" t="n">
        <f aca="false">Interim!I75</f>
        <v>109</v>
      </c>
      <c r="G22" s="46" t="n">
        <f aca="false">F22</f>
        <v>109</v>
      </c>
      <c r="H22" s="46" t="n">
        <f aca="false">G22</f>
        <v>109</v>
      </c>
      <c r="I22" s="46" t="n">
        <f aca="false">H22</f>
        <v>109</v>
      </c>
      <c r="J22" s="46" t="n">
        <f aca="false">I22</f>
        <v>109</v>
      </c>
      <c r="K22" s="46" t="n">
        <f aca="false">J22</f>
        <v>109</v>
      </c>
    </row>
    <row r="23" customFormat="false" ht="15" hidden="false" customHeight="false" outlineLevel="0" collapsed="false">
      <c r="A23" s="6" t="s">
        <v>397</v>
      </c>
      <c r="C23" s="47" t="n">
        <f aca="false">SUM(C14:C22)</f>
        <v>1801</v>
      </c>
      <c r="D23" s="47" t="n">
        <f aca="false">SUM(D14:D22)</f>
        <v>2435</v>
      </c>
      <c r="E23" s="47" t="n">
        <f aca="false">SUM(E14:E22)</f>
        <v>2440</v>
      </c>
      <c r="F23" s="48" t="n">
        <f aca="false">SUM(F14:F22)</f>
        <v>2682.912626</v>
      </c>
      <c r="G23" s="48" t="n">
        <f aca="false">SUM(G14:G22)</f>
        <v>2877.54712232</v>
      </c>
      <c r="H23" s="48" t="n">
        <f aca="false">SUM(H14:H22)</f>
        <v>3110.7196359008</v>
      </c>
      <c r="I23" s="48" t="n">
        <f aca="false">SUM(I14:I22)</f>
        <v>3358.07370890163</v>
      </c>
      <c r="J23" s="48" t="n">
        <f aca="false">SUM(J14:J22)</f>
        <v>3615.13674264087</v>
      </c>
      <c r="K23" s="48" t="n">
        <f aca="false">SUM(K14:K22)</f>
        <v>3876.68872594678</v>
      </c>
    </row>
    <row r="24" customFormat="false" ht="15" hidden="false" customHeight="false" outlineLevel="0" collapsed="false">
      <c r="A24" s="6" t="s">
        <v>398</v>
      </c>
      <c r="C24" s="47" t="n">
        <f aca="false">C13+C23</f>
        <v>14818</v>
      </c>
      <c r="D24" s="47" t="n">
        <f aca="false">D13+D23</f>
        <v>17321</v>
      </c>
      <c r="E24" s="47" t="n">
        <f aca="false">E13+E23</f>
        <v>20033</v>
      </c>
      <c r="F24" s="48" t="n">
        <f aca="false">F13+F23</f>
        <v>19434.7334294529</v>
      </c>
      <c r="G24" s="48" t="n">
        <f aca="false">G13+G23</f>
        <v>20746.113296816</v>
      </c>
      <c r="H24" s="48" t="n">
        <f aca="false">H13+H23</f>
        <v>22459.885659668</v>
      </c>
      <c r="I24" s="48" t="n">
        <f aca="false">I13+I23</f>
        <v>24362.1987521082</v>
      </c>
      <c r="J24" s="48" t="n">
        <f aca="false">J13+J23</f>
        <v>26352.2518817342</v>
      </c>
      <c r="K24" s="48" t="n">
        <f aca="false">K13+K23</f>
        <v>28375.0191281375</v>
      </c>
    </row>
    <row r="25" customFormat="false" ht="15" hidden="false" customHeight="false" outlineLevel="0" collapsed="false">
      <c r="A25" s="4" t="s">
        <v>399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" hidden="false" customHeight="false" outlineLevel="0" collapsed="false">
      <c r="A26" s="9" t="s">
        <v>292</v>
      </c>
      <c r="C26" s="28" t="n">
        <v>2749</v>
      </c>
      <c r="D26" s="28" t="n">
        <v>2935</v>
      </c>
      <c r="E26" s="28" t="n">
        <v>3019</v>
      </c>
      <c r="F26" s="46" t="n">
        <f aca="false">F66/365*('Income Statement'!F11+'Income Statement'!F16)</f>
        <v>3113.37843301918</v>
      </c>
      <c r="G26" s="46" t="n">
        <f aca="false">G66/365*('Income Statement'!G11+'Income Statement'!G16)</f>
        <v>3263.57941770141</v>
      </c>
      <c r="H26" s="46" t="n">
        <f aca="false">H66/365*('Income Statement'!H11+'Income Statement'!H16)</f>
        <v>3467.5475758404</v>
      </c>
      <c r="I26" s="46" t="n">
        <f aca="false">I66/365*('Income Statement'!I11+'Income Statement'!I16)</f>
        <v>3683.62955882306</v>
      </c>
      <c r="J26" s="46" t="n">
        <f aca="false">J66/365*('Income Statement'!J11+'Income Statement'!J16)</f>
        <v>3905.57945917934</v>
      </c>
      <c r="K26" s="46" t="n">
        <f aca="false">K66/365*('Income Statement'!K11+'Income Statement'!K16)</f>
        <v>4120.16687136688</v>
      </c>
    </row>
    <row r="27" customFormat="false" ht="15" hidden="false" customHeight="false" outlineLevel="0" collapsed="false">
      <c r="A27" s="9" t="s">
        <v>400</v>
      </c>
      <c r="C27" s="28" t="n">
        <v>1836</v>
      </c>
      <c r="D27" s="28" t="n">
        <v>2623</v>
      </c>
      <c r="E27" s="28" t="n">
        <v>3035</v>
      </c>
      <c r="F27" s="46" t="n">
        <f aca="false">F67*'Income Statement'!F6</f>
        <v>3057.42834</v>
      </c>
      <c r="G27" s="46" t="n">
        <f aca="false">G67*'Income Statement'!G6</f>
        <v>3203.9365368</v>
      </c>
      <c r="H27" s="46" t="n">
        <f aca="false">H67*'Income Statement'!H6</f>
        <v>3428.075496192</v>
      </c>
      <c r="I27" s="46" t="n">
        <f aca="false">I67*'Income Statement'!I6</f>
        <v>3662.74456047168</v>
      </c>
      <c r="J27" s="46" t="n">
        <f aca="false">J67*'Income Statement'!J6</f>
        <v>3896.01670846687</v>
      </c>
      <c r="K27" s="46" t="n">
        <f aca="false">K67*'Income Statement'!K6</f>
        <v>4115.42204999792</v>
      </c>
      <c r="M27" s="19" t="s">
        <v>401</v>
      </c>
    </row>
    <row r="28" customFormat="false" ht="15" hidden="false" customHeight="false" outlineLevel="0" collapsed="false">
      <c r="A28" s="9" t="s">
        <v>402</v>
      </c>
      <c r="C28" s="28" t="n">
        <v>122</v>
      </c>
      <c r="D28" s="28" t="n">
        <v>191</v>
      </c>
      <c r="E28" s="28" t="n">
        <v>233</v>
      </c>
      <c r="F28" s="46" t="n">
        <f aca="false">F55*F71</f>
        <v>236.6342286</v>
      </c>
      <c r="G28" s="46" t="n">
        <f aca="false">G55*G71</f>
        <v>248.013700872</v>
      </c>
      <c r="H28" s="46" t="n">
        <f aca="false">H55*H71</f>
        <v>265.42285018368</v>
      </c>
      <c r="I28" s="46" t="n">
        <f aca="false">I55*I71</f>
        <v>283.649885724307</v>
      </c>
      <c r="J28" s="46" t="n">
        <f aca="false">J55*J71</f>
        <v>301.768421054892</v>
      </c>
      <c r="K28" s="46" t="n">
        <f aca="false">K55*K71</f>
        <v>318.809904431345</v>
      </c>
    </row>
    <row r="29" customFormat="false" ht="15" hidden="false" customHeight="false" outlineLevel="0" collapsed="false">
      <c r="A29" s="9" t="s">
        <v>403</v>
      </c>
      <c r="C29" s="28" t="n">
        <v>694</v>
      </c>
      <c r="D29" s="28" t="n">
        <v>770</v>
      </c>
      <c r="E29" s="28" t="n">
        <v>789</v>
      </c>
      <c r="F29" s="46" t="n">
        <f aca="false">F68*'Income Statement'!F6</f>
        <v>795.76902</v>
      </c>
      <c r="G29" s="46" t="n">
        <f aca="false">G68*'Income Statement'!G6</f>
        <v>833.9012904</v>
      </c>
      <c r="H29" s="46" t="n">
        <f aca="false">H68*'Income Statement'!H6</f>
        <v>892.238827776</v>
      </c>
      <c r="I29" s="46" t="n">
        <f aca="false">I68*'Income Statement'!I6</f>
        <v>953.31707738304</v>
      </c>
      <c r="J29" s="46" t="n">
        <f aca="false">J68*'Income Statement'!J6</f>
        <v>1014.03174603932</v>
      </c>
      <c r="K29" s="46" t="n">
        <f aca="false">K68*'Income Statement'!K6</f>
        <v>1071.13724588987</v>
      </c>
    </row>
    <row r="30" customFormat="false" ht="15" hidden="false" customHeight="false" outlineLevel="0" collapsed="false">
      <c r="A30" s="9" t="s">
        <v>297</v>
      </c>
      <c r="C30" s="28" t="n">
        <v>707</v>
      </c>
      <c r="D30" s="28" t="n">
        <v>771</v>
      </c>
      <c r="E30" s="28" t="n">
        <v>933</v>
      </c>
      <c r="F30" s="46" t="n">
        <f aca="false">F69*'Income Statement'!F6</f>
        <v>837.6516</v>
      </c>
      <c r="G30" s="46" t="n">
        <f aca="false">G69*'Income Statement'!G6</f>
        <v>877.790832</v>
      </c>
      <c r="H30" s="46" t="n">
        <f aca="false">H69*'Income Statement'!H6</f>
        <v>939.19876608</v>
      </c>
      <c r="I30" s="46" t="n">
        <f aca="false">I69*'Income Statement'!I6</f>
        <v>1003.4916604032</v>
      </c>
      <c r="J30" s="46" t="n">
        <f aca="false">J69*'Income Statement'!J6</f>
        <v>1067.40183793613</v>
      </c>
      <c r="K30" s="46" t="n">
        <f aca="false">K69*'Income Statement'!K6</f>
        <v>1127.51289041039</v>
      </c>
    </row>
    <row r="31" customFormat="false" ht="15" hidden="false" customHeight="false" outlineLevel="0" collapsed="false">
      <c r="A31" s="9" t="s">
        <v>404</v>
      </c>
      <c r="C31" s="28" t="n">
        <v>0</v>
      </c>
      <c r="D31" s="28" t="n">
        <v>0</v>
      </c>
      <c r="E31" s="28" t="n">
        <v>18048</v>
      </c>
      <c r="F31" s="60" t="n">
        <v>0</v>
      </c>
      <c r="G31" s="60" t="n">
        <v>0</v>
      </c>
      <c r="H31" s="60" t="n">
        <v>0</v>
      </c>
      <c r="I31" s="60" t="n">
        <v>0</v>
      </c>
      <c r="J31" s="60" t="n">
        <v>0</v>
      </c>
      <c r="K31" s="60" t="n">
        <v>0</v>
      </c>
    </row>
    <row r="32" customFormat="false" ht="15" hidden="false" customHeight="false" outlineLevel="0" collapsed="false">
      <c r="A32" s="6" t="s">
        <v>405</v>
      </c>
      <c r="C32" s="47" t="n">
        <f aca="false">SUM(C26:C31)</f>
        <v>6108</v>
      </c>
      <c r="D32" s="47" t="n">
        <f aca="false">SUM(D26:D31)</f>
        <v>7290</v>
      </c>
      <c r="E32" s="47" t="n">
        <f aca="false">SUM(E26:E31)</f>
        <v>26057</v>
      </c>
      <c r="F32" s="48" t="n">
        <f aca="false">SUM(F26:F31)</f>
        <v>8040.86162161918</v>
      </c>
      <c r="G32" s="48" t="n">
        <f aca="false">SUM(G26:G31)</f>
        <v>8427.22177777341</v>
      </c>
      <c r="H32" s="48" t="n">
        <f aca="false">SUM(H26:H31)</f>
        <v>8992.48351607208</v>
      </c>
      <c r="I32" s="48" t="n">
        <f aca="false">SUM(I26:I31)</f>
        <v>9586.83274280529</v>
      </c>
      <c r="J32" s="48" t="n">
        <f aca="false">SUM(J26:J31)</f>
        <v>10184.7981726765</v>
      </c>
      <c r="K32" s="48" t="n">
        <f aca="false">SUM(K26:K31)</f>
        <v>10753.0489620964</v>
      </c>
    </row>
    <row r="33" customFormat="false" ht="15" hidden="false" customHeight="false" outlineLevel="0" collapsed="false">
      <c r="A33" s="9" t="s">
        <v>406</v>
      </c>
      <c r="C33" s="28" t="n">
        <v>20807</v>
      </c>
      <c r="D33" s="28" t="n">
        <v>18376</v>
      </c>
      <c r="E33" s="28" t="n">
        <v>0</v>
      </c>
      <c r="F33" s="60" t="n">
        <v>0</v>
      </c>
      <c r="G33" s="60" t="n">
        <v>0</v>
      </c>
      <c r="H33" s="60" t="n">
        <v>0</v>
      </c>
      <c r="I33" s="60" t="n">
        <v>0</v>
      </c>
      <c r="J33" s="60" t="n">
        <v>0</v>
      </c>
      <c r="K33" s="60" t="n">
        <v>0</v>
      </c>
    </row>
    <row r="34" customFormat="false" ht="15" hidden="false" customHeight="false" outlineLevel="0" collapsed="false">
      <c r="A34" s="9" t="s">
        <v>300</v>
      </c>
      <c r="C34" s="28" t="n">
        <v>1</v>
      </c>
      <c r="D34" s="28" t="n">
        <v>7</v>
      </c>
      <c r="E34" s="28" t="n">
        <v>5</v>
      </c>
      <c r="F34" s="59" t="n">
        <f aca="false">Interim!I84</f>
        <v>15</v>
      </c>
      <c r="G34" s="46" t="n">
        <f aca="false">F34</f>
        <v>15</v>
      </c>
      <c r="H34" s="46" t="n">
        <f aca="false">G34</f>
        <v>15</v>
      </c>
      <c r="I34" s="46" t="n">
        <f aca="false">H34</f>
        <v>15</v>
      </c>
      <c r="J34" s="46" t="n">
        <f aca="false">I34</f>
        <v>15</v>
      </c>
      <c r="K34" s="46" t="n">
        <f aca="false">J34</f>
        <v>15</v>
      </c>
    </row>
    <row r="35" customFormat="false" ht="15" hidden="false" customHeight="false" outlineLevel="0" collapsed="false">
      <c r="A35" s="9" t="s">
        <v>407</v>
      </c>
      <c r="C35" s="28" t="n">
        <v>407</v>
      </c>
      <c r="D35" s="28" t="n">
        <v>744</v>
      </c>
      <c r="E35" s="28" t="n">
        <v>868</v>
      </c>
      <c r="F35" s="46" t="n">
        <f aca="false">F55-F28</f>
        <v>890.1954314</v>
      </c>
      <c r="G35" s="46" t="n">
        <f aca="false">G55-G28</f>
        <v>933.003922328</v>
      </c>
      <c r="H35" s="46" t="n">
        <f aca="false">H55-H28</f>
        <v>998.49548402432</v>
      </c>
      <c r="I35" s="46" t="n">
        <f aca="false">I55-I28</f>
        <v>1067.06385582001</v>
      </c>
      <c r="J35" s="46" t="n">
        <f aca="false">J55-J28</f>
        <v>1135.22406015888</v>
      </c>
      <c r="K35" s="46" t="n">
        <f aca="false">K55-K28</f>
        <v>1199.33249762268</v>
      </c>
    </row>
    <row r="36" customFormat="false" ht="15" hidden="false" customHeight="false" outlineLevel="0" collapsed="false">
      <c r="A36" s="9" t="s">
        <v>301</v>
      </c>
      <c r="C36" s="28" t="n">
        <v>6</v>
      </c>
      <c r="D36" s="28" t="n">
        <v>1</v>
      </c>
      <c r="E36" s="28" t="n">
        <v>0</v>
      </c>
      <c r="F36" s="59" t="n">
        <f aca="false">Interim!I85</f>
        <v>31</v>
      </c>
      <c r="G36" s="46" t="n">
        <f aca="false">F36</f>
        <v>31</v>
      </c>
      <c r="H36" s="46" t="n">
        <f aca="false">G36</f>
        <v>31</v>
      </c>
      <c r="I36" s="46" t="n">
        <f aca="false">H36</f>
        <v>31</v>
      </c>
      <c r="J36" s="46" t="n">
        <f aca="false">I36</f>
        <v>31</v>
      </c>
      <c r="K36" s="46" t="n">
        <f aca="false">J36</f>
        <v>31</v>
      </c>
    </row>
    <row r="37" customFormat="false" ht="15" hidden="false" customHeight="false" outlineLevel="0" collapsed="false">
      <c r="A37" s="6" t="s">
        <v>408</v>
      </c>
      <c r="C37" s="47" t="n">
        <f aca="false">SUM(C33:C36)</f>
        <v>21221</v>
      </c>
      <c r="D37" s="47" t="n">
        <f aca="false">SUM(D33:D36)</f>
        <v>19128</v>
      </c>
      <c r="E37" s="47" t="n">
        <f aca="false">SUM(E33:E36)</f>
        <v>873</v>
      </c>
      <c r="F37" s="48" t="n">
        <f aca="false">SUM(F33:F36)</f>
        <v>936.1954314</v>
      </c>
      <c r="G37" s="48" t="n">
        <f aca="false">SUM(G33:G36)</f>
        <v>979.003922328</v>
      </c>
      <c r="H37" s="48" t="n">
        <f aca="false">SUM(H33:H36)</f>
        <v>1044.49548402432</v>
      </c>
      <c r="I37" s="48" t="n">
        <f aca="false">SUM(I33:I36)</f>
        <v>1113.06385582001</v>
      </c>
      <c r="J37" s="48" t="n">
        <f aca="false">SUM(J33:J36)</f>
        <v>1181.22406015888</v>
      </c>
      <c r="K37" s="48" t="n">
        <f aca="false">SUM(K33:K36)</f>
        <v>1245.33249762268</v>
      </c>
    </row>
    <row r="38" customFormat="false" ht="15" hidden="false" customHeight="false" outlineLevel="0" collapsed="false">
      <c r="A38" s="6" t="s">
        <v>409</v>
      </c>
      <c r="C38" s="57" t="n">
        <f aca="false">C32+C37</f>
        <v>27329</v>
      </c>
      <c r="D38" s="57" t="n">
        <f aca="false">D32+D37</f>
        <v>26418</v>
      </c>
      <c r="E38" s="57" t="n">
        <f aca="false">E32+E37</f>
        <v>26930</v>
      </c>
      <c r="F38" s="58" t="n">
        <f aca="false">F32+F37</f>
        <v>8977.05705301918</v>
      </c>
      <c r="G38" s="58" t="n">
        <f aca="false">G32+G37</f>
        <v>9406.22570010141</v>
      </c>
      <c r="H38" s="58" t="n">
        <f aca="false">H32+H37</f>
        <v>10036.9790000964</v>
      </c>
      <c r="I38" s="58" t="n">
        <f aca="false">I32+I37</f>
        <v>10699.8965986253</v>
      </c>
      <c r="J38" s="58" t="n">
        <f aca="false">J32+J37</f>
        <v>11366.0222328354</v>
      </c>
      <c r="K38" s="58" t="n">
        <f aca="false">K32+K37</f>
        <v>11998.3814597191</v>
      </c>
    </row>
    <row r="39" customFormat="false" ht="15" hidden="false" customHeight="false" outlineLevel="0" collapsed="false">
      <c r="A39" s="4" t="s">
        <v>410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5" hidden="false" customHeight="false" outlineLevel="0" collapsed="false">
      <c r="A40" s="6" t="s">
        <v>411</v>
      </c>
      <c r="C40" s="64" t="n">
        <v>-12511</v>
      </c>
      <c r="D40" s="64" t="n">
        <v>-9097</v>
      </c>
      <c r="E40" s="64" t="n">
        <v>-6897</v>
      </c>
      <c r="F40" s="58" t="n">
        <f aca="false">F53</f>
        <v>10457.6763764337</v>
      </c>
      <c r="G40" s="58" t="n">
        <f aca="false">G53</f>
        <v>11339.8875967146</v>
      </c>
      <c r="H40" s="58" t="n">
        <f aca="false">H53</f>
        <v>12422.9066595716</v>
      </c>
      <c r="I40" s="58" t="n">
        <f aca="false">I53</f>
        <v>13662.3021534829</v>
      </c>
      <c r="J40" s="58" t="n">
        <f aca="false">J53</f>
        <v>14986.2296488988</v>
      </c>
      <c r="K40" s="58" t="n">
        <f aca="false">K53</f>
        <v>16376.6376684185</v>
      </c>
    </row>
    <row r="41" customFormat="false" ht="15" hidden="false" customHeight="false" outlineLevel="0" collapsed="false">
      <c r="A41" s="6" t="s">
        <v>412</v>
      </c>
      <c r="C41" s="47" t="n">
        <f aca="false">C38+C40</f>
        <v>14818</v>
      </c>
      <c r="D41" s="47" t="n">
        <f aca="false">D38+D40</f>
        <v>17321</v>
      </c>
      <c r="E41" s="47" t="n">
        <f aca="false">E38+E40</f>
        <v>20033</v>
      </c>
      <c r="F41" s="48" t="n">
        <f aca="false">F38+F40</f>
        <v>19434.7334294529</v>
      </c>
      <c r="G41" s="48" t="n">
        <f aca="false">G38+G40</f>
        <v>20746.113296816</v>
      </c>
      <c r="H41" s="48" t="n">
        <f aca="false">H38+H40</f>
        <v>22459.885659668</v>
      </c>
      <c r="I41" s="48" t="n">
        <f aca="false">I38+I40</f>
        <v>24362.1987521082</v>
      </c>
      <c r="J41" s="48" t="n">
        <f aca="false">J38+J40</f>
        <v>26352.2518817342</v>
      </c>
      <c r="K41" s="48" t="n">
        <f aca="false">K38+K40</f>
        <v>28375.0191281375</v>
      </c>
    </row>
    <row r="42" customFormat="false" ht="15" hidden="false" customHeight="false" outlineLevel="0" collapsed="false">
      <c r="A42" s="43" t="s">
        <v>413</v>
      </c>
      <c r="C42" s="68" t="n">
        <f aca="false">ROUND(C24-C41,3)</f>
        <v>0</v>
      </c>
      <c r="D42" s="68" t="n">
        <f aca="false">ROUND(D24-D41,3)</f>
        <v>0</v>
      </c>
      <c r="E42" s="68" t="n">
        <f aca="false">ROUND(E24-E41,3)</f>
        <v>0</v>
      </c>
      <c r="F42" s="69" t="n">
        <f aca="false">ROUND(F24-F41,3)</f>
        <v>0</v>
      </c>
      <c r="G42" s="69" t="n">
        <f aca="false">ROUND(G24-G41,3)</f>
        <v>0</v>
      </c>
      <c r="H42" s="69" t="n">
        <f aca="false">ROUND(H24-H41,3)</f>
        <v>0</v>
      </c>
      <c r="I42" s="69" t="n">
        <f aca="false">ROUND(I24-I41,3)</f>
        <v>0</v>
      </c>
      <c r="J42" s="69" t="n">
        <f aca="false">ROUND(J24-J41,3)</f>
        <v>0</v>
      </c>
      <c r="K42" s="69" t="n">
        <f aca="false">ROUND(K24-K41,3)</f>
        <v>0</v>
      </c>
    </row>
    <row r="43" customFormat="false" ht="15" hidden="false" customHeight="false" outlineLevel="0" collapsed="false">
      <c r="A43" s="4" t="s">
        <v>414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5" hidden="false" customHeight="false" outlineLevel="0" collapsed="false">
      <c r="A44" s="9" t="s">
        <v>415</v>
      </c>
      <c r="F44" s="46" t="n">
        <f aca="false">E40</f>
        <v>-6897</v>
      </c>
      <c r="G44" s="46" t="n">
        <f aca="false">F40</f>
        <v>10457.6763764337</v>
      </c>
      <c r="H44" s="46" t="n">
        <f aca="false">G40</f>
        <v>11339.8875967146</v>
      </c>
      <c r="I44" s="46" t="n">
        <f aca="false">H40</f>
        <v>12422.9066595716</v>
      </c>
      <c r="J44" s="46" t="n">
        <f aca="false">I40</f>
        <v>13662.3021534829</v>
      </c>
      <c r="K44" s="46" t="n">
        <f aca="false">J40</f>
        <v>14986.2296488988</v>
      </c>
    </row>
    <row r="45" customFormat="false" ht="15" hidden="false" customHeight="false" outlineLevel="0" collapsed="false">
      <c r="A45" s="9" t="s">
        <v>416</v>
      </c>
      <c r="F45" s="59" t="n">
        <f aca="false">'Income Statement'!F54</f>
        <v>6928.58698892062</v>
      </c>
      <c r="G45" s="59" t="n">
        <f aca="false">'Income Statement'!G54</f>
        <v>1357.3505557253</v>
      </c>
      <c r="H45" s="59" t="n">
        <f aca="false">'Income Statement'!H54</f>
        <v>1706.69434071961</v>
      </c>
      <c r="I45" s="59" t="n">
        <f aca="false">'Income Statement'!I54</f>
        <v>2035.24266427118</v>
      </c>
      <c r="J45" s="59" t="n">
        <f aca="false">'Income Statement'!J54</f>
        <v>2281.54882755143</v>
      </c>
      <c r="K45" s="59" t="n">
        <f aca="false">'Income Statement'!K54</f>
        <v>2468.68243329539</v>
      </c>
    </row>
    <row r="46" customFormat="false" ht="15" hidden="false" customHeight="false" outlineLevel="0" collapsed="false">
      <c r="A46" s="9" t="s">
        <v>417</v>
      </c>
      <c r="F46" s="59" t="n">
        <f aca="false">'Income Statement'!F32</f>
        <v>90</v>
      </c>
      <c r="G46" s="59" t="n">
        <f aca="false">'Income Statement'!G32</f>
        <v>100</v>
      </c>
      <c r="H46" s="59" t="n">
        <f aca="false">'Income Statement'!H32</f>
        <v>105</v>
      </c>
      <c r="I46" s="59" t="n">
        <f aca="false">'Income Statement'!I32</f>
        <v>110</v>
      </c>
      <c r="J46" s="59" t="n">
        <f aca="false">'Income Statement'!J32</f>
        <v>115</v>
      </c>
      <c r="K46" s="59" t="n">
        <f aca="false">'Income Statement'!K32</f>
        <v>120</v>
      </c>
    </row>
    <row r="47" customFormat="false" ht="15" hidden="false" customHeight="false" outlineLevel="0" collapsed="false">
      <c r="A47" s="9" t="s">
        <v>418</v>
      </c>
      <c r="F47" s="46" t="n">
        <f aca="false">E31+E33-Inputs!$C$27-'Income Statement'!F44</f>
        <v>11081.6916819681</v>
      </c>
      <c r="G47" s="60" t="n">
        <v>0</v>
      </c>
      <c r="H47" s="60" t="n">
        <v>0</v>
      </c>
      <c r="I47" s="60" t="n">
        <v>0</v>
      </c>
      <c r="J47" s="60" t="n">
        <v>0</v>
      </c>
      <c r="K47" s="60" t="n">
        <v>0</v>
      </c>
      <c r="M47" s="19" t="s">
        <v>419</v>
      </c>
    </row>
    <row r="48" customFormat="false" ht="15" hidden="false" customHeight="false" outlineLevel="0" collapsed="false">
      <c r="A48" s="9" t="s">
        <v>420</v>
      </c>
      <c r="F48" s="46" t="n">
        <f aca="false">-Inputs!$C$26</f>
        <v>-2200</v>
      </c>
      <c r="G48" s="60" t="n">
        <v>0</v>
      </c>
      <c r="H48" s="60" t="n">
        <v>0</v>
      </c>
      <c r="I48" s="60" t="n">
        <v>0</v>
      </c>
      <c r="J48" s="60" t="n">
        <v>0</v>
      </c>
      <c r="K48" s="60" t="n">
        <v>0</v>
      </c>
    </row>
    <row r="49" customFormat="false" ht="15" hidden="false" customHeight="false" outlineLevel="0" collapsed="false">
      <c r="A49" s="9" t="s">
        <v>421</v>
      </c>
      <c r="F49" s="46" t="n">
        <f aca="false">-Inputs!$C$29</f>
        <v>-230</v>
      </c>
      <c r="G49" s="60" t="n">
        <v>0</v>
      </c>
      <c r="H49" s="60" t="n">
        <v>0</v>
      </c>
      <c r="I49" s="60" t="n">
        <v>0</v>
      </c>
      <c r="J49" s="60" t="n">
        <v>0</v>
      </c>
      <c r="K49" s="60" t="n">
        <v>0</v>
      </c>
    </row>
    <row r="50" customFormat="false" ht="15" hidden="false" customHeight="false" outlineLevel="0" collapsed="false">
      <c r="A50" s="9" t="s">
        <v>422</v>
      </c>
      <c r="F50" s="59" t="n">
        <f aca="false">Inputs!$C$25</f>
        <v>1684.39770554493</v>
      </c>
      <c r="G50" s="60" t="n">
        <v>0</v>
      </c>
      <c r="H50" s="60" t="n">
        <v>0</v>
      </c>
      <c r="I50" s="60" t="n">
        <v>0</v>
      </c>
      <c r="J50" s="60" t="n">
        <v>0</v>
      </c>
      <c r="K50" s="60" t="n">
        <v>0</v>
      </c>
    </row>
    <row r="51" customFormat="false" ht="15" hidden="false" customHeight="false" outlineLevel="0" collapsed="false">
      <c r="A51" s="9" t="s">
        <v>423</v>
      </c>
      <c r="F51" s="59" t="n">
        <f aca="false">'Cash Flow'!F39</f>
        <v>-0</v>
      </c>
      <c r="G51" s="59" t="n">
        <f aca="false">'Cash Flow'!G39</f>
        <v>-575.139335444377</v>
      </c>
      <c r="H51" s="59" t="n">
        <f aca="false">'Cash Flow'!H39</f>
        <v>-728.67527786265</v>
      </c>
      <c r="I51" s="59" t="n">
        <f aca="false">'Cash Flow'!I39</f>
        <v>-905.847170359803</v>
      </c>
      <c r="J51" s="59" t="n">
        <f aca="false">'Cash Flow'!J39</f>
        <v>-1072.62133213559</v>
      </c>
      <c r="K51" s="59" t="n">
        <f aca="false">'Cash Flow'!K39</f>
        <v>-1198.27441377572</v>
      </c>
    </row>
    <row r="52" customFormat="false" ht="15" hidden="false" customHeight="false" outlineLevel="0" collapsed="false">
      <c r="A52" s="9" t="s">
        <v>424</v>
      </c>
      <c r="F52" s="60" t="n">
        <v>0</v>
      </c>
      <c r="G52" s="60" t="n">
        <v>0</v>
      </c>
      <c r="H52" s="60" t="n">
        <v>0</v>
      </c>
      <c r="I52" s="60" t="n">
        <v>0</v>
      </c>
      <c r="J52" s="60" t="n">
        <v>0</v>
      </c>
      <c r="K52" s="60" t="n">
        <v>0</v>
      </c>
    </row>
    <row r="53" customFormat="false" ht="15" hidden="false" customHeight="false" outlineLevel="0" collapsed="false">
      <c r="A53" s="6" t="s">
        <v>425</v>
      </c>
      <c r="F53" s="48" t="n">
        <f aca="false">SUM(F44:F52)</f>
        <v>10457.6763764337</v>
      </c>
      <c r="G53" s="48" t="n">
        <f aca="false">SUM(G44:G52)</f>
        <v>11339.8875967146</v>
      </c>
      <c r="H53" s="48" t="n">
        <f aca="false">SUM(H44:H52)</f>
        <v>12422.9066595716</v>
      </c>
      <c r="I53" s="48" t="n">
        <f aca="false">SUM(I44:I52)</f>
        <v>13662.3021534829</v>
      </c>
      <c r="J53" s="48" t="n">
        <f aca="false">SUM(J44:J52)</f>
        <v>14986.2296488988</v>
      </c>
      <c r="K53" s="48" t="n">
        <f aca="false">SUM(K44:K52)</f>
        <v>16376.6376684185</v>
      </c>
    </row>
    <row r="54" customFormat="false" ht="15" hidden="false" customHeight="false" outlineLevel="0" collapsed="false">
      <c r="A54" s="4" t="s">
        <v>426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customFormat="false" ht="15" hidden="false" customHeight="false" outlineLevel="0" collapsed="false">
      <c r="A55" s="9" t="s">
        <v>427</v>
      </c>
      <c r="C55" s="28" t="n">
        <v>529</v>
      </c>
      <c r="D55" s="28" t="n">
        <v>935</v>
      </c>
      <c r="E55" s="28" t="n">
        <v>1101</v>
      </c>
      <c r="F55" s="46" t="n">
        <f aca="false">E55+F15-E15</f>
        <v>1126.82966</v>
      </c>
      <c r="G55" s="46" t="n">
        <f aca="false">F55+G15-F15</f>
        <v>1181.0176232</v>
      </c>
      <c r="H55" s="46" t="n">
        <f aca="false">G55+H15-G15</f>
        <v>1263.918334208</v>
      </c>
      <c r="I55" s="46" t="n">
        <f aca="false">H55+I15-H15</f>
        <v>1350.71374154432</v>
      </c>
      <c r="J55" s="46" t="n">
        <f aca="false">I55+J15-I15</f>
        <v>1436.99248121377</v>
      </c>
      <c r="K55" s="46" t="n">
        <f aca="false">J55+K15-J15</f>
        <v>1518.14240205402</v>
      </c>
    </row>
    <row r="56" customFormat="false" ht="15" hidden="false" customHeight="false" outlineLevel="0" collapsed="false">
      <c r="A56" s="6" t="s">
        <v>428</v>
      </c>
      <c r="C56" s="57" t="n">
        <f aca="false">C6+C7+C17+C8+C21</f>
        <v>10274</v>
      </c>
      <c r="D56" s="57" t="n">
        <f aca="false">D6+D7+D17+D8+D21</f>
        <v>11721</v>
      </c>
      <c r="E56" s="57" t="n">
        <f aca="false">E6+E7+E17+E8+E21</f>
        <v>14786</v>
      </c>
      <c r="F56" s="58" t="n">
        <f aca="false">F6+F7+F17+F8+F21</f>
        <v>13915.8836967953</v>
      </c>
      <c r="G56" s="58" t="n">
        <f aca="false">G6+G7+G17+G8+G21</f>
        <v>14908.9375384129</v>
      </c>
      <c r="H56" s="58" t="n">
        <f aca="false">H6+H7+H17+H8+H21</f>
        <v>16191.3814004734</v>
      </c>
      <c r="I56" s="58" t="n">
        <f aca="false">I6+I7+I17+I8+I21</f>
        <v>17639.8656107609</v>
      </c>
      <c r="J56" s="58" t="n">
        <f aca="false">J6+J7+J17+J8+J21</f>
        <v>19169.1977794573</v>
      </c>
      <c r="K56" s="58" t="n">
        <f aca="false">K6+K7+K17+K8+K21</f>
        <v>20732.8587336671</v>
      </c>
    </row>
    <row r="57" customFormat="false" ht="15" hidden="false" customHeight="false" outlineLevel="0" collapsed="false">
      <c r="A57" s="9" t="s">
        <v>429</v>
      </c>
      <c r="C57" s="26" t="n">
        <f aca="false">C56-C55</f>
        <v>9745</v>
      </c>
      <c r="D57" s="26" t="n">
        <f aca="false">D56-D55</f>
        <v>10786</v>
      </c>
      <c r="E57" s="26" t="n">
        <f aca="false">E56-E55</f>
        <v>13685</v>
      </c>
      <c r="F57" s="46" t="n">
        <f aca="false">F56-F55</f>
        <v>12789.0540367953</v>
      </c>
      <c r="G57" s="46" t="n">
        <f aca="false">G56-G55</f>
        <v>13727.9199152129</v>
      </c>
      <c r="H57" s="46" t="n">
        <f aca="false">H56-H55</f>
        <v>14927.4630662654</v>
      </c>
      <c r="I57" s="46" t="n">
        <f aca="false">I56-I55</f>
        <v>16289.1518692166</v>
      </c>
      <c r="J57" s="46" t="n">
        <f aca="false">J56-J55</f>
        <v>17732.2052982436</v>
      </c>
      <c r="K57" s="46" t="n">
        <f aca="false">K56-K55</f>
        <v>19214.716331613</v>
      </c>
    </row>
    <row r="58" customFormat="false" ht="15" hidden="false" customHeight="false" outlineLevel="0" collapsed="false">
      <c r="A58" s="6" t="s">
        <v>304</v>
      </c>
      <c r="C58" s="57" t="n">
        <f aca="false">C9+C10+C11+C12-C26-C27-C29</f>
        <v>-2458</v>
      </c>
      <c r="D58" s="57" t="n">
        <f aca="false">D9+D10+D11+D12-D26-D27-D29</f>
        <v>-2918</v>
      </c>
      <c r="E58" s="57" t="n">
        <f aca="false">E9+E10+E11+E12-E26-E27-E29</f>
        <v>-4004</v>
      </c>
      <c r="F58" s="58" t="n">
        <f aca="false">F9+F10+F11+F12-F26-F27-F29</f>
        <v>-4092.63868636164</v>
      </c>
      <c r="G58" s="58" t="n">
        <f aca="false">G9+G10+G11+G12-G26-G27-G29</f>
        <v>-4303.78860881829</v>
      </c>
      <c r="H58" s="58" t="n">
        <f aca="false">H9+H10+H11+H12-H26-H27-H29</f>
        <v>-4592.07727651468</v>
      </c>
      <c r="I58" s="58" t="n">
        <f aca="false">I9+I10+I11+I12-I26-I27-I29</f>
        <v>-4897.43176423206</v>
      </c>
      <c r="J58" s="58" t="n">
        <f aca="false">J9+J10+J11+J12-J26-J27-J29</f>
        <v>-5209.71055404952</v>
      </c>
      <c r="K58" s="58" t="n">
        <f aca="false">K9+K10+K11+K12-K26-K27-K29</f>
        <v>-5503.25449873098</v>
      </c>
      <c r="M58" s="19" t="s">
        <v>430</v>
      </c>
    </row>
    <row r="59" customFormat="false" ht="15" hidden="false" customHeight="false" outlineLevel="0" collapsed="false">
      <c r="A59" s="43" t="s">
        <v>249</v>
      </c>
      <c r="C59" s="50" t="n">
        <f aca="false">C58/'Income Statement'!C6</f>
        <v>-0.076566053016852</v>
      </c>
      <c r="D59" s="50" t="n">
        <f aca="false">D58/'Income Statement'!D6</f>
        <v>-0.0753071126251678</v>
      </c>
      <c r="E59" s="50" t="n">
        <f aca="false">E58/'Income Statement'!E6</f>
        <v>-0.0956818887853371</v>
      </c>
      <c r="F59" s="51" t="n">
        <f aca="false">F58/'Income Statement'!F6</f>
        <v>-0.0977169669672127</v>
      </c>
      <c r="G59" s="51" t="n">
        <f aca="false">G58/'Income Statement'!G6</f>
        <v>-0.0980595479452055</v>
      </c>
      <c r="H59" s="51" t="n">
        <f aca="false">H58/'Income Statement'!H6</f>
        <v>-0.0977871232876712</v>
      </c>
      <c r="I59" s="51" t="n">
        <f aca="false">I58/'Income Statement'!I6</f>
        <v>-0.0976078219178082</v>
      </c>
      <c r="J59" s="51" t="n">
        <f aca="false">J58/'Income Statement'!J6</f>
        <v>-0.0976147945205479</v>
      </c>
      <c r="K59" s="51" t="n">
        <f aca="false">K58/'Income Statement'!K6</f>
        <v>-0.0976175890410959</v>
      </c>
    </row>
    <row r="60" customFormat="false" ht="15" hidden="false" customHeight="false" outlineLevel="0" collapsed="false">
      <c r="A60" s="43" t="s">
        <v>431</v>
      </c>
      <c r="D60" s="50" t="str">
        <f aca="false">IF(AND(D40&gt;0,C40&gt;0),'Income Statement'!D58/AVERAGE(D40,C40),"n.m.")</f>
        <v>n.m.</v>
      </c>
      <c r="E60" s="50" t="str">
        <f aca="false">IF(AND(E40&gt;0,D40&gt;0),'Income Statement'!E58/AVERAGE(E40,D40),"n.m.")</f>
        <v>n.m.</v>
      </c>
      <c r="F60" s="51" t="str">
        <f aca="false">IF(AND(F40&gt;0,E40&gt;0),'Income Statement'!F58/AVERAGE(F40,E40),"n.m.")</f>
        <v>n.m.</v>
      </c>
      <c r="G60" s="51" t="n">
        <f aca="false">IF(AND(G40&gt;0,F40&gt;0),'Income Statement'!G58/AVERAGE(G40,F40),"n.m.")</f>
        <v>0.133716827946514</v>
      </c>
      <c r="H60" s="51" t="n">
        <f aca="false">IF(AND(H40&gt;0,G40&gt;0),'Income Statement'!H58/AVERAGE(H40,G40),"n.m.")</f>
        <v>0.152481591279219</v>
      </c>
      <c r="I60" s="51" t="n">
        <f aca="false">IF(AND(I40&gt;0,H40&gt;0),'Income Statement'!I58/AVERAGE(I40,H40),"n.m.")</f>
        <v>0.164479623655348</v>
      </c>
      <c r="J60" s="51" t="n">
        <f aca="false">IF(AND(J40&gt;0,I40&gt;0),'Income Statement'!J58/AVERAGE(J40,I40),"n.m.")</f>
        <v>0.167306921281892</v>
      </c>
      <c r="K60" s="51" t="n">
        <f aca="false">IF(AND(K40&gt;0,J40&gt;0),'Income Statement'!K58/AVERAGE(K40,J40),"n.m.")</f>
        <v>0.165079449343972</v>
      </c>
    </row>
    <row r="61" customFormat="false" ht="15" hidden="false" customHeight="false" outlineLevel="0" collapsed="false">
      <c r="A61" s="4" t="s">
        <v>432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5" hidden="false" customHeight="false" outlineLevel="0" collapsed="false">
      <c r="A62" s="9" t="s">
        <v>433</v>
      </c>
      <c r="C62" s="86" t="n">
        <f aca="false">C9/'Income Statement'!C6*365</f>
        <v>9.35722518144722</v>
      </c>
      <c r="D62" s="86" t="n">
        <f aca="false">D9/'Income Statement'!D6*365</f>
        <v>12.2740528543409</v>
      </c>
      <c r="E62" s="86" t="n">
        <f aca="false">E9/'Income Statement'!E6*365</f>
        <v>6.2625755729204</v>
      </c>
      <c r="F62" s="87" t="n">
        <v>7</v>
      </c>
      <c r="G62" s="87" t="n">
        <v>7</v>
      </c>
      <c r="H62" s="87" t="n">
        <v>7</v>
      </c>
      <c r="I62" s="87" t="n">
        <v>7</v>
      </c>
      <c r="J62" s="87" t="n">
        <v>7</v>
      </c>
      <c r="K62" s="87" t="n">
        <v>7</v>
      </c>
    </row>
    <row r="63" customFormat="false" ht="15" hidden="false" customHeight="false" outlineLevel="0" collapsed="false">
      <c r="A63" s="9" t="s">
        <v>434</v>
      </c>
      <c r="C63" s="30" t="n">
        <f aca="false">C10/'Income Statement'!C6</f>
        <v>0.0085038781422297</v>
      </c>
      <c r="D63" s="30" t="n">
        <f aca="false">D10/'Income Statement'!D6</f>
        <v>0.0123877361412202</v>
      </c>
      <c r="E63" s="30" t="n">
        <f aca="false">E10/'Income Statement'!E6</f>
        <v>0.012760771381461</v>
      </c>
      <c r="F63" s="67" t="n">
        <v>0.013</v>
      </c>
      <c r="G63" s="67" t="n">
        <v>0.013</v>
      </c>
      <c r="H63" s="67" t="n">
        <v>0.013</v>
      </c>
      <c r="I63" s="67" t="n">
        <v>0.013</v>
      </c>
      <c r="J63" s="67" t="n">
        <v>0.013</v>
      </c>
      <c r="K63" s="67" t="n">
        <v>0.013</v>
      </c>
    </row>
    <row r="64" customFormat="false" ht="15" hidden="false" customHeight="false" outlineLevel="0" collapsed="false">
      <c r="A64" s="9" t="s">
        <v>435</v>
      </c>
      <c r="C64" s="86" t="n">
        <f aca="false">C11/'Income Statement'!C11*365</f>
        <v>46.7641073804492</v>
      </c>
      <c r="D64" s="86" t="n">
        <f aca="false">D11/'Income Statement'!D11*365</f>
        <v>35.9039937045052</v>
      </c>
      <c r="E64" s="86" t="n">
        <f aca="false">E11/'Income Statement'!E11*365</f>
        <v>34.2637534430135</v>
      </c>
      <c r="F64" s="87" t="n">
        <v>35</v>
      </c>
      <c r="G64" s="87" t="n">
        <v>35</v>
      </c>
      <c r="H64" s="87" t="n">
        <v>35</v>
      </c>
      <c r="I64" s="87" t="n">
        <v>35</v>
      </c>
      <c r="J64" s="87" t="n">
        <v>35</v>
      </c>
      <c r="K64" s="87" t="n">
        <v>35</v>
      </c>
      <c r="M64" s="19" t="s">
        <v>436</v>
      </c>
    </row>
    <row r="65" customFormat="false" ht="15" hidden="false" customHeight="false" outlineLevel="0" collapsed="false">
      <c r="A65" s="9" t="s">
        <v>437</v>
      </c>
      <c r="C65" s="30" t="n">
        <f aca="false">C12/'Income Statement'!C6</f>
        <v>0.00274117683705573</v>
      </c>
      <c r="D65" s="30" t="n">
        <f aca="false">D12/'Income Statement'!D6</f>
        <v>0.00327758852069784</v>
      </c>
      <c r="E65" s="30" t="n">
        <f aca="false">E12/'Income Statement'!E6</f>
        <v>0.00779028365235262</v>
      </c>
      <c r="F65" s="67" t="n">
        <v>0.008</v>
      </c>
      <c r="G65" s="67" t="n">
        <v>0.008</v>
      </c>
      <c r="H65" s="67" t="n">
        <v>0.008</v>
      </c>
      <c r="I65" s="67" t="n">
        <v>0.008</v>
      </c>
      <c r="J65" s="67" t="n">
        <v>0.008</v>
      </c>
      <c r="K65" s="67" t="n">
        <v>0.008</v>
      </c>
    </row>
    <row r="66" customFormat="false" ht="15" hidden="false" customHeight="false" outlineLevel="0" collapsed="false">
      <c r="A66" s="9" t="s">
        <v>438</v>
      </c>
      <c r="C66" s="86" t="n">
        <f aca="false">C26/('Income Statement'!C11+'Income Statement'!C16)*365</f>
        <v>38.1834614506431</v>
      </c>
      <c r="D66" s="86" t="n">
        <f aca="false">D26/('Income Statement'!D11+'Income Statement'!D16)*365</f>
        <v>33.377212113659</v>
      </c>
      <c r="E66" s="86" t="n">
        <f aca="false">E26/('Income Statement'!E11+'Income Statement'!E16)*365</f>
        <v>33.9004768497154</v>
      </c>
      <c r="F66" s="87" t="n">
        <v>34</v>
      </c>
      <c r="G66" s="87" t="n">
        <v>34</v>
      </c>
      <c r="H66" s="87" t="n">
        <v>34</v>
      </c>
      <c r="I66" s="87" t="n">
        <v>34</v>
      </c>
      <c r="J66" s="87" t="n">
        <v>34</v>
      </c>
      <c r="K66" s="87" t="n">
        <v>34</v>
      </c>
      <c r="M66" s="19" t="s">
        <v>439</v>
      </c>
    </row>
    <row r="67" customFormat="false" ht="15" hidden="false" customHeight="false" outlineLevel="0" collapsed="false">
      <c r="A67" s="9" t="s">
        <v>440</v>
      </c>
      <c r="C67" s="30" t="n">
        <f aca="false">C27/'Income Statement'!C6</f>
        <v>0.0571909167367536</v>
      </c>
      <c r="D67" s="30" t="n">
        <f aca="false">D27/'Income Statement'!D6</f>
        <v>0.0676938164550428</v>
      </c>
      <c r="E67" s="30" t="n">
        <f aca="false">E27/'Income Statement'!E6</f>
        <v>0.0725261070088656</v>
      </c>
      <c r="F67" s="67" t="n">
        <v>0.073</v>
      </c>
      <c r="G67" s="67" t="n">
        <v>0.073</v>
      </c>
      <c r="H67" s="67" t="n">
        <v>0.073</v>
      </c>
      <c r="I67" s="67" t="n">
        <v>0.073</v>
      </c>
      <c r="J67" s="67" t="n">
        <v>0.073</v>
      </c>
      <c r="K67" s="67" t="n">
        <v>0.073</v>
      </c>
    </row>
    <row r="68" customFormat="false" ht="15" hidden="false" customHeight="false" outlineLevel="0" collapsed="false">
      <c r="A68" s="9" t="s">
        <v>441</v>
      </c>
      <c r="C68" s="30" t="n">
        <f aca="false">C29/'Income Statement'!C6</f>
        <v>0.0216179173285986</v>
      </c>
      <c r="D68" s="30" t="n">
        <f aca="false">D29/'Income Statement'!D6</f>
        <v>0.0198719933932074</v>
      </c>
      <c r="E68" s="30" t="n">
        <f aca="false">E29/'Income Statement'!E6</f>
        <v>0.018854398164743</v>
      </c>
      <c r="F68" s="67" t="n">
        <v>0.019</v>
      </c>
      <c r="G68" s="67" t="n">
        <v>0.019</v>
      </c>
      <c r="H68" s="67" t="n">
        <v>0.019</v>
      </c>
      <c r="I68" s="67" t="n">
        <v>0.019</v>
      </c>
      <c r="J68" s="67" t="n">
        <v>0.019</v>
      </c>
      <c r="K68" s="67" t="n">
        <v>0.019</v>
      </c>
    </row>
    <row r="69" customFormat="false" ht="15" hidden="false" customHeight="false" outlineLevel="0" collapsed="false">
      <c r="A69" s="9" t="s">
        <v>442</v>
      </c>
      <c r="C69" s="30" t="n">
        <f aca="false">C30/'Income Statement'!C6</f>
        <v>0.0220228639068</v>
      </c>
      <c r="D69" s="30" t="n">
        <f aca="false">D30/'Income Statement'!D6</f>
        <v>0.0198978011768349</v>
      </c>
      <c r="E69" s="30" t="n">
        <f aca="false">E30/'Income Statement'!E6</f>
        <v>0.0222955050541257</v>
      </c>
      <c r="F69" s="67" t="n">
        <v>0.02</v>
      </c>
      <c r="G69" s="67" t="n">
        <v>0.02</v>
      </c>
      <c r="H69" s="67" t="n">
        <v>0.02</v>
      </c>
      <c r="I69" s="67" t="n">
        <v>0.02</v>
      </c>
      <c r="J69" s="67" t="n">
        <v>0.02</v>
      </c>
      <c r="K69" s="67" t="n">
        <v>0.02</v>
      </c>
    </row>
    <row r="70" customFormat="false" ht="15" hidden="false" customHeight="false" outlineLevel="0" collapsed="false">
      <c r="A70" s="9" t="s">
        <v>443</v>
      </c>
      <c r="C70" s="30" t="n">
        <f aca="false">C15/'Income Statement'!C6</f>
        <v>0.0154814191820079</v>
      </c>
      <c r="D70" s="30" t="n">
        <f aca="false">D15/'Income Statement'!D6</f>
        <v>0.0247496644988128</v>
      </c>
      <c r="E70" s="30" t="n">
        <f aca="false">E15/'Income Statement'!E6</f>
        <v>0.0264057160608885</v>
      </c>
      <c r="F70" s="67" t="n">
        <v>0.027</v>
      </c>
      <c r="G70" s="67" t="n">
        <v>0.027</v>
      </c>
      <c r="H70" s="67" t="n">
        <v>0.027</v>
      </c>
      <c r="I70" s="67" t="n">
        <v>0.027</v>
      </c>
      <c r="J70" s="67" t="n">
        <v>0.027</v>
      </c>
      <c r="K70" s="67" t="n">
        <v>0.027</v>
      </c>
    </row>
    <row r="71" customFormat="false" ht="15" hidden="false" customHeight="false" outlineLevel="0" collapsed="false">
      <c r="A71" s="9" t="s">
        <v>444</v>
      </c>
      <c r="C71" s="30" t="n">
        <f aca="false">C28/C55</f>
        <v>0.23062381852552</v>
      </c>
      <c r="D71" s="30" t="n">
        <f aca="false">D28/D55</f>
        <v>0.20427807486631</v>
      </c>
      <c r="E71" s="30" t="n">
        <f aca="false">E28/E55</f>
        <v>0.211625794732062</v>
      </c>
      <c r="F71" s="67" t="n">
        <v>0.21</v>
      </c>
      <c r="G71" s="67" t="n">
        <v>0.21</v>
      </c>
      <c r="H71" s="67" t="n">
        <v>0.21</v>
      </c>
      <c r="I71" s="67" t="n">
        <v>0.21</v>
      </c>
      <c r="J71" s="67" t="n">
        <v>0.21</v>
      </c>
      <c r="K71" s="67" t="n">
        <v>0.21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2" min="3" style="0" width="11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445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446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207</v>
      </c>
      <c r="C4" s="44" t="s">
        <v>308</v>
      </c>
      <c r="D4" s="44" t="s">
        <v>309</v>
      </c>
      <c r="E4" s="44" t="s">
        <v>212</v>
      </c>
      <c r="F4" s="44" t="s">
        <v>217</v>
      </c>
      <c r="G4" s="44" t="s">
        <v>158</v>
      </c>
      <c r="H4" s="44" t="s">
        <v>159</v>
      </c>
      <c r="I4" s="44" t="s">
        <v>160</v>
      </c>
      <c r="J4" s="44" t="s">
        <v>161</v>
      </c>
      <c r="K4" s="44" t="s">
        <v>162</v>
      </c>
    </row>
    <row r="5" customFormat="false" ht="15" hidden="false" customHeight="false" outlineLevel="0" collapsed="false">
      <c r="A5" s="4" t="s">
        <v>447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9" t="s">
        <v>266</v>
      </c>
      <c r="C6" s="28" t="n">
        <v>2995</v>
      </c>
      <c r="D6" s="28" t="n">
        <v>3769</v>
      </c>
      <c r="E6" s="28" t="n">
        <v>2514</v>
      </c>
      <c r="F6" s="59" t="n">
        <f aca="false">'Income Statement'!F51</f>
        <v>7267.68321528999</v>
      </c>
      <c r="G6" s="59" t="n">
        <f aca="false">'Income Statement'!G51</f>
        <v>1740.19302016064</v>
      </c>
      <c r="H6" s="59" t="n">
        <f aca="false">'Income Statement'!H51</f>
        <v>2188.06966758924</v>
      </c>
      <c r="I6" s="59" t="n">
        <f aca="false">'Income Statement'!I51</f>
        <v>2609.28546701434</v>
      </c>
      <c r="J6" s="59" t="n">
        <f aca="false">'Income Statement'!J51</f>
        <v>2925.06259942491</v>
      </c>
      <c r="K6" s="59" t="n">
        <f aca="false">'Income Statement'!K51</f>
        <v>3164.97747858383</v>
      </c>
    </row>
    <row r="7" customFormat="false" ht="15" hidden="false" customHeight="false" outlineLevel="0" collapsed="false">
      <c r="A7" s="9" t="s">
        <v>448</v>
      </c>
      <c r="C7" s="28" t="n">
        <v>120</v>
      </c>
      <c r="D7" s="28" t="n">
        <v>157</v>
      </c>
      <c r="E7" s="28" t="n">
        <v>181</v>
      </c>
      <c r="F7" s="60" t="n">
        <v>0</v>
      </c>
      <c r="G7" s="60" t="n">
        <v>0</v>
      </c>
      <c r="H7" s="60" t="n">
        <v>0</v>
      </c>
      <c r="I7" s="60" t="n">
        <v>0</v>
      </c>
      <c r="J7" s="60" t="n">
        <v>0</v>
      </c>
      <c r="K7" s="60" t="n">
        <v>0</v>
      </c>
    </row>
    <row r="8" customFormat="false" ht="15" hidden="false" customHeight="false" outlineLevel="0" collapsed="false">
      <c r="A8" s="9" t="s">
        <v>275</v>
      </c>
      <c r="C8" s="28" t="n">
        <v>119</v>
      </c>
      <c r="D8" s="28" t="n">
        <v>200</v>
      </c>
      <c r="E8" s="28" t="n">
        <v>247</v>
      </c>
      <c r="F8" s="59" t="n">
        <f aca="false">'Income Statement'!F38</f>
        <v>284.801544</v>
      </c>
      <c r="G8" s="59" t="n">
        <f aca="false">'Income Statement'!G38</f>
        <v>298.44888288</v>
      </c>
      <c r="H8" s="59" t="n">
        <f aca="false">'Income Statement'!H38</f>
        <v>319.3275804672</v>
      </c>
      <c r="I8" s="59" t="n">
        <f aca="false">'Income Statement'!I38</f>
        <v>341.187164537088</v>
      </c>
      <c r="J8" s="59" t="n">
        <f aca="false">'Income Statement'!J38</f>
        <v>362.916624898284</v>
      </c>
      <c r="K8" s="59" t="n">
        <f aca="false">'Income Statement'!K38</f>
        <v>383.354382739532</v>
      </c>
    </row>
    <row r="9" customFormat="false" ht="15" hidden="false" customHeight="false" outlineLevel="0" collapsed="false">
      <c r="A9" s="9" t="s">
        <v>274</v>
      </c>
      <c r="C9" s="28" t="n">
        <v>58</v>
      </c>
      <c r="D9" s="28" t="n">
        <v>124</v>
      </c>
      <c r="E9" s="28" t="n">
        <v>151</v>
      </c>
      <c r="F9" s="59" t="n">
        <f aca="false">'Income Statement'!F36</f>
        <v>180.095094</v>
      </c>
      <c r="G9" s="59" t="n">
        <f aca="false">'Income Statement'!G36</f>
        <v>188.72502888</v>
      </c>
      <c r="H9" s="59" t="n">
        <f aca="false">'Income Statement'!H36</f>
        <v>201.9277347072</v>
      </c>
      <c r="I9" s="59" t="n">
        <f aca="false">'Income Statement'!I36</f>
        <v>215.750706986688</v>
      </c>
      <c r="J9" s="59" t="n">
        <f aca="false">'Income Statement'!J36</f>
        <v>229.491395156268</v>
      </c>
      <c r="K9" s="59" t="n">
        <f aca="false">'Income Statement'!K36</f>
        <v>242.415271438234</v>
      </c>
    </row>
    <row r="10" customFormat="false" ht="15" hidden="false" customHeight="false" outlineLevel="0" collapsed="false">
      <c r="A10" s="9" t="s">
        <v>449</v>
      </c>
      <c r="C10" s="28" t="n">
        <v>25</v>
      </c>
      <c r="D10" s="28" t="n">
        <v>44</v>
      </c>
      <c r="E10" s="28" t="n">
        <v>56</v>
      </c>
      <c r="F10" s="60" t="n">
        <v>0</v>
      </c>
      <c r="G10" s="60" t="n">
        <v>0</v>
      </c>
      <c r="H10" s="60" t="n">
        <v>0</v>
      </c>
      <c r="I10" s="60" t="n">
        <v>0</v>
      </c>
      <c r="J10" s="60" t="n">
        <v>0</v>
      </c>
      <c r="K10" s="60" t="n">
        <v>0</v>
      </c>
      <c r="M10" s="19" t="s">
        <v>450</v>
      </c>
    </row>
    <row r="11" customFormat="false" ht="15" hidden="false" customHeight="false" outlineLevel="0" collapsed="false">
      <c r="A11" s="9" t="s">
        <v>451</v>
      </c>
      <c r="C11" s="28" t="n">
        <v>-472</v>
      </c>
      <c r="D11" s="28" t="n">
        <v>-597</v>
      </c>
      <c r="E11" s="28" t="n">
        <v>-621</v>
      </c>
      <c r="F11" s="46" t="n">
        <f aca="false">-'Income Statement'!F47</f>
        <v>-584.835255258126</v>
      </c>
      <c r="G11" s="46" t="n">
        <f aca="false">-'Income Statement'!G47</f>
        <v>-500.971813084632</v>
      </c>
      <c r="H11" s="46" t="n">
        <f aca="false">-'Income Statement'!H47</f>
        <v>-506.903876306039</v>
      </c>
      <c r="I11" s="46" t="n">
        <f aca="false">-'Income Statement'!I47</f>
        <v>-534.315586215624</v>
      </c>
      <c r="J11" s="46" t="n">
        <f aca="false">-'Income Statement'!J47</f>
        <v>-582.11556515511</v>
      </c>
      <c r="K11" s="46" t="n">
        <f aca="false">-'Income Statement'!K47</f>
        <v>-632.583526722092</v>
      </c>
    </row>
    <row r="12" customFormat="false" ht="15" hidden="false" customHeight="false" outlineLevel="0" collapsed="false">
      <c r="A12" s="9" t="s">
        <v>452</v>
      </c>
      <c r="C12" s="28" t="n">
        <v>36</v>
      </c>
      <c r="D12" s="28" t="n">
        <v>171</v>
      </c>
      <c r="E12" s="28" t="n">
        <v>-3</v>
      </c>
      <c r="F12" s="46" t="n">
        <f aca="false">-'Income Statement'!F45</f>
        <v>15</v>
      </c>
      <c r="G12" s="46" t="n">
        <f aca="false">-'Income Statement'!G45</f>
        <v>-0</v>
      </c>
      <c r="H12" s="46" t="n">
        <f aca="false">-'Income Statement'!H45</f>
        <v>-0</v>
      </c>
      <c r="I12" s="46" t="n">
        <f aca="false">-'Income Statement'!I45</f>
        <v>-0</v>
      </c>
      <c r="J12" s="46" t="n">
        <f aca="false">-'Income Statement'!J45</f>
        <v>-0</v>
      </c>
      <c r="K12" s="46" t="n">
        <f aca="false">-'Income Statement'!K45</f>
        <v>-0</v>
      </c>
    </row>
    <row r="13" customFormat="false" ht="15" hidden="false" customHeight="false" outlineLevel="0" collapsed="false">
      <c r="A13" s="9" t="s">
        <v>453</v>
      </c>
      <c r="C13" s="28" t="n">
        <v>49</v>
      </c>
      <c r="D13" s="28" t="n">
        <v>71</v>
      </c>
      <c r="E13" s="28" t="n">
        <v>85</v>
      </c>
      <c r="F13" s="59" t="n">
        <f aca="false">'Income Statement'!F32</f>
        <v>90</v>
      </c>
      <c r="G13" s="59" t="n">
        <f aca="false">'Income Statement'!G32</f>
        <v>100</v>
      </c>
      <c r="H13" s="59" t="n">
        <f aca="false">'Income Statement'!H32</f>
        <v>105</v>
      </c>
      <c r="I13" s="59" t="n">
        <f aca="false">'Income Statement'!I32</f>
        <v>110</v>
      </c>
      <c r="J13" s="59" t="n">
        <f aca="false">'Income Statement'!J32</f>
        <v>115</v>
      </c>
      <c r="K13" s="59" t="n">
        <f aca="false">'Income Statement'!K32</f>
        <v>120</v>
      </c>
    </row>
    <row r="14" customFormat="false" ht="15" hidden="false" customHeight="false" outlineLevel="0" collapsed="false">
      <c r="A14" s="9" t="s">
        <v>259</v>
      </c>
      <c r="C14" s="28" t="n">
        <v>-1231</v>
      </c>
      <c r="D14" s="28" t="n">
        <v>-2431</v>
      </c>
      <c r="E14" s="28" t="n">
        <v>-328</v>
      </c>
      <c r="F14" s="46" t="n">
        <f aca="false">-'Income Statement'!F44</f>
        <v>-5884.30831803187</v>
      </c>
      <c r="G14" s="46" t="n">
        <f aca="false">-'Income Statement'!G44</f>
        <v>-0</v>
      </c>
      <c r="H14" s="46" t="n">
        <f aca="false">-'Income Statement'!H44</f>
        <v>-0</v>
      </c>
      <c r="I14" s="46" t="n">
        <f aca="false">-'Income Statement'!I44</f>
        <v>-0</v>
      </c>
      <c r="J14" s="46" t="n">
        <f aca="false">-'Income Statement'!J44</f>
        <v>-0</v>
      </c>
      <c r="K14" s="46" t="n">
        <f aca="false">-'Income Statement'!K44</f>
        <v>-0</v>
      </c>
    </row>
    <row r="15" customFormat="false" ht="15" hidden="false" customHeight="false" outlineLevel="0" collapsed="false">
      <c r="A15" s="9" t="s">
        <v>454</v>
      </c>
      <c r="C15" s="28" t="n">
        <v>-309</v>
      </c>
      <c r="D15" s="28" t="n">
        <v>-542</v>
      </c>
      <c r="E15" s="28" t="n">
        <v>647</v>
      </c>
      <c r="F15" s="46" t="n">
        <f aca="false">-('Balance Sheet'!F9-'Balance Sheet'!E9)</f>
        <v>-85.2275616438357</v>
      </c>
      <c r="G15" s="46" t="n">
        <f aca="false">-('Balance Sheet'!G9-'Balance Sheet'!F9)</f>
        <v>-38.4896745205479</v>
      </c>
      <c r="H15" s="46" t="n">
        <f aca="false">-('Balance Sheet'!H9-'Balance Sheet'!G9)</f>
        <v>-58.8843203506851</v>
      </c>
      <c r="I15" s="46" t="n">
        <f aca="false">-('Balance Sheet'!I9-'Balance Sheet'!H9)</f>
        <v>-61.6507205838904</v>
      </c>
      <c r="J15" s="46" t="n">
        <f aca="false">-('Balance Sheet'!J9-'Balance Sheet'!I9)</f>
        <v>-61.2837318808899</v>
      </c>
      <c r="K15" s="46" t="n">
        <f aca="false">-('Balance Sheet'!K9-'Balance Sheet'!J9)</f>
        <v>-57.6407352492909</v>
      </c>
    </row>
    <row r="16" customFormat="false" ht="15" hidden="false" customHeight="false" outlineLevel="0" collapsed="false">
      <c r="A16" s="9" t="s">
        <v>455</v>
      </c>
      <c r="C16" s="28" t="n">
        <v>-163</v>
      </c>
      <c r="D16" s="28" t="n">
        <v>-286</v>
      </c>
      <c r="E16" s="28" t="n">
        <v>-204</v>
      </c>
      <c r="F16" s="46" t="n">
        <f aca="false">-(('Balance Sheet'!F10-'Balance Sheet'!E10)+('Balance Sheet'!F12-'Balance Sheet'!E12)+('Balance Sheet'!F22-'Balance Sheet'!E22)+('Balance Sheet'!F18-'Balance Sheet'!E18))</f>
        <v>-31.53418</v>
      </c>
      <c r="G16" s="46" t="n">
        <f aca="false">-(('Balance Sheet'!G10-'Balance Sheet'!F10)+('Balance Sheet'!G12-'Balance Sheet'!F12)+('Balance Sheet'!G22-'Balance Sheet'!F22)+('Balance Sheet'!G18-'Balance Sheet'!F18))</f>
        <v>-42.1461936</v>
      </c>
      <c r="H16" s="46" t="n">
        <f aca="false">-(('Balance Sheet'!H10-'Balance Sheet'!G10)+('Balance Sheet'!H12-'Balance Sheet'!G12)+('Balance Sheet'!H22-'Balance Sheet'!G22)+('Balance Sheet'!H18-'Balance Sheet'!G18))</f>
        <v>-64.4783307840002</v>
      </c>
      <c r="I16" s="46" t="n">
        <f aca="false">-(('Balance Sheet'!I10-'Balance Sheet'!H10)+('Balance Sheet'!I12-'Balance Sheet'!H12)+('Balance Sheet'!I22-'Balance Sheet'!H22)+('Balance Sheet'!I18-'Balance Sheet'!H18))</f>
        <v>-67.50753903936</v>
      </c>
      <c r="J16" s="46" t="n">
        <f aca="false">-(('Balance Sheet'!J10-'Balance Sheet'!I10)+('Balance Sheet'!J12-'Balance Sheet'!I12)+('Balance Sheet'!J22-'Balance Sheet'!I22)+('Balance Sheet'!J18-'Balance Sheet'!I18))</f>
        <v>-67.1056864095745</v>
      </c>
      <c r="K16" s="46" t="n">
        <f aca="false">-(('Balance Sheet'!K10-'Balance Sheet'!J10)+('Balance Sheet'!K12-'Balance Sheet'!J12)+('Balance Sheet'!K22-'Balance Sheet'!J22)+('Balance Sheet'!K18-'Balance Sheet'!J18))</f>
        <v>-63.1166050979736</v>
      </c>
    </row>
    <row r="17" customFormat="false" ht="15" hidden="false" customHeight="false" outlineLevel="0" collapsed="false">
      <c r="A17" s="9" t="s">
        <v>456</v>
      </c>
      <c r="C17" s="28" t="n">
        <v>-862</v>
      </c>
      <c r="D17" s="28" t="n">
        <v>-83</v>
      </c>
      <c r="E17" s="28" t="n">
        <v>74</v>
      </c>
      <c r="F17" s="46" t="n">
        <f aca="false">-('Balance Sheet'!F11-'Balance Sheet'!E11)</f>
        <v>69.8246349863011</v>
      </c>
      <c r="G17" s="46" t="n">
        <f aca="false">-('Balance Sheet'!G11-'Balance Sheet'!F11)</f>
        <v>-43.055661305041</v>
      </c>
      <c r="H17" s="46" t="n">
        <f aca="false">-('Balance Sheet'!H11-'Balance Sheet'!G11)</f>
        <v>-74.7933360759123</v>
      </c>
      <c r="I17" s="46" t="n">
        <f aca="false">-('Balance Sheet'!I11-'Balance Sheet'!H11)</f>
        <v>-77.3165495287456</v>
      </c>
      <c r="J17" s="46" t="n">
        <f aca="false">-('Balance Sheet'!J11-'Balance Sheet'!I11)</f>
        <v>-75.2685088998267</v>
      </c>
      <c r="K17" s="46" t="n">
        <f aca="false">-('Balance Sheet'!K11-'Balance Sheet'!J11)</f>
        <v>-76.7969685404187</v>
      </c>
    </row>
    <row r="18" customFormat="false" ht="15" hidden="false" customHeight="false" outlineLevel="0" collapsed="false">
      <c r="A18" s="9" t="s">
        <v>457</v>
      </c>
      <c r="C18" s="28" t="n">
        <v>927</v>
      </c>
      <c r="D18" s="28" t="n">
        <v>228</v>
      </c>
      <c r="E18" s="28" t="n">
        <v>36</v>
      </c>
      <c r="F18" s="46" t="n">
        <f aca="false">('Balance Sheet'!F26-'Balance Sheet'!E26)</f>
        <v>94.3784330191788</v>
      </c>
      <c r="G18" s="46" t="n">
        <f aca="false">('Balance Sheet'!G26-'Balance Sheet'!F26)</f>
        <v>150.200984682235</v>
      </c>
      <c r="H18" s="46" t="n">
        <f aca="false">('Balance Sheet'!H26-'Balance Sheet'!G26)</f>
        <v>203.96815813899</v>
      </c>
      <c r="I18" s="46" t="n">
        <f aca="false">('Balance Sheet'!I26-'Balance Sheet'!H26)</f>
        <v>216.081982982655</v>
      </c>
      <c r="J18" s="46" t="n">
        <f aca="false">('Balance Sheet'!J26-'Balance Sheet'!I26)</f>
        <v>221.949900356279</v>
      </c>
      <c r="K18" s="46" t="n">
        <f aca="false">('Balance Sheet'!K26-'Balance Sheet'!J26)</f>
        <v>214.587412187542</v>
      </c>
    </row>
    <row r="19" customFormat="false" ht="15" hidden="false" customHeight="false" outlineLevel="0" collapsed="false">
      <c r="A19" s="9" t="s">
        <v>458</v>
      </c>
      <c r="C19" s="28" t="n">
        <v>99</v>
      </c>
      <c r="D19" s="28" t="n">
        <v>99</v>
      </c>
      <c r="E19" s="28" t="n">
        <v>-27</v>
      </c>
      <c r="F19" s="46" t="n">
        <f aca="false">('Balance Sheet'!F29-'Balance Sheet'!E29)</f>
        <v>6.76902000000007</v>
      </c>
      <c r="G19" s="46" t="n">
        <f aca="false">('Balance Sheet'!G29-'Balance Sheet'!F29)</f>
        <v>38.1322703999998</v>
      </c>
      <c r="H19" s="46" t="n">
        <f aca="false">('Balance Sheet'!H29-'Balance Sheet'!G29)</f>
        <v>58.3375373760001</v>
      </c>
      <c r="I19" s="46" t="n">
        <f aca="false">('Balance Sheet'!I29-'Balance Sheet'!H29)</f>
        <v>61.0782496070401</v>
      </c>
      <c r="J19" s="46" t="n">
        <f aca="false">('Balance Sheet'!J29-'Balance Sheet'!I29)</f>
        <v>60.7146686562816</v>
      </c>
      <c r="K19" s="46" t="n">
        <f aca="false">('Balance Sheet'!K29-'Balance Sheet'!J29)</f>
        <v>57.1054998505476</v>
      </c>
    </row>
    <row r="20" customFormat="false" ht="15" hidden="false" customHeight="false" outlineLevel="0" collapsed="false">
      <c r="A20" s="9" t="s">
        <v>459</v>
      </c>
      <c r="C20" s="28" t="n">
        <v>725</v>
      </c>
      <c r="D20" s="28" t="n">
        <v>854</v>
      </c>
      <c r="E20" s="28" t="n">
        <v>334</v>
      </c>
      <c r="F20" s="46" t="n">
        <f aca="false">('Balance Sheet'!F27-'Balance Sheet'!E27)</f>
        <v>22.4283399999999</v>
      </c>
      <c r="G20" s="46" t="n">
        <f aca="false">('Balance Sheet'!G27-'Balance Sheet'!F27)</f>
        <v>146.5081968</v>
      </c>
      <c r="H20" s="46" t="n">
        <f aca="false">('Balance Sheet'!H27-'Balance Sheet'!G27)</f>
        <v>224.138959392001</v>
      </c>
      <c r="I20" s="46" t="n">
        <f aca="false">('Balance Sheet'!I27-'Balance Sheet'!H27)</f>
        <v>234.66906427968</v>
      </c>
      <c r="J20" s="46" t="n">
        <f aca="false">('Balance Sheet'!J27-'Balance Sheet'!I27)</f>
        <v>233.272147995187</v>
      </c>
      <c r="K20" s="46" t="n">
        <f aca="false">('Balance Sheet'!K27-'Balance Sheet'!J27)</f>
        <v>219.405341531051</v>
      </c>
    </row>
    <row r="21" customFormat="false" ht="15" hidden="false" customHeight="false" outlineLevel="0" collapsed="false">
      <c r="A21" s="9" t="s">
        <v>460</v>
      </c>
      <c r="C21" s="28" t="n">
        <v>6</v>
      </c>
      <c r="D21" s="28" t="n">
        <v>-4</v>
      </c>
      <c r="E21" s="28" t="n">
        <v>-1</v>
      </c>
      <c r="F21" s="46" t="n">
        <f aca="false">('Balance Sheet'!F36-'Balance Sheet'!E36)+('Balance Sheet'!F34-'Balance Sheet'!E34)</f>
        <v>41</v>
      </c>
      <c r="G21" s="46" t="n">
        <f aca="false">('Balance Sheet'!G36-'Balance Sheet'!F36)+('Balance Sheet'!G34-'Balance Sheet'!F34)</f>
        <v>0</v>
      </c>
      <c r="H21" s="46" t="n">
        <f aca="false">('Balance Sheet'!H36-'Balance Sheet'!G36)+('Balance Sheet'!H34-'Balance Sheet'!G34)</f>
        <v>0</v>
      </c>
      <c r="I21" s="46" t="n">
        <f aca="false">('Balance Sheet'!I36-'Balance Sheet'!H36)+('Balance Sheet'!I34-'Balance Sheet'!H34)</f>
        <v>0</v>
      </c>
      <c r="J21" s="46" t="n">
        <f aca="false">('Balance Sheet'!J36-'Balance Sheet'!I36)+('Balance Sheet'!J34-'Balance Sheet'!I34)</f>
        <v>0</v>
      </c>
      <c r="K21" s="46" t="n">
        <f aca="false">('Balance Sheet'!K36-'Balance Sheet'!J36)+('Balance Sheet'!K34-'Balance Sheet'!J34)</f>
        <v>0</v>
      </c>
    </row>
    <row r="22" customFormat="false" ht="15" hidden="false" customHeight="false" outlineLevel="0" collapsed="false">
      <c r="A22" s="6" t="s">
        <v>461</v>
      </c>
      <c r="C22" s="47" t="n">
        <f aca="false">SUM(C6:C21)</f>
        <v>2122</v>
      </c>
      <c r="D22" s="47" t="n">
        <f aca="false">SUM(D6:D21)</f>
        <v>1774</v>
      </c>
      <c r="E22" s="47" t="n">
        <f aca="false">SUM(E6:E21)</f>
        <v>3141</v>
      </c>
      <c r="F22" s="48" t="n">
        <f aca="false">SUM(F6:F21)</f>
        <v>1486.07496636164</v>
      </c>
      <c r="G22" s="48" t="n">
        <f aca="false">SUM(G6:G21)</f>
        <v>2037.54504129265</v>
      </c>
      <c r="H22" s="48" t="n">
        <f aca="false">SUM(H6:H21)</f>
        <v>2595.70977415399</v>
      </c>
      <c r="I22" s="48" t="n">
        <f aca="false">SUM(I6:I21)</f>
        <v>3047.26224003987</v>
      </c>
      <c r="J22" s="48" t="n">
        <f aca="false">SUM(J6:J21)</f>
        <v>3362.63384414181</v>
      </c>
      <c r="K22" s="48" t="n">
        <f aca="false">SUM(K6:K21)</f>
        <v>3571.70755072096</v>
      </c>
    </row>
    <row r="23" customFormat="false" ht="15" hidden="false" customHeight="false" outlineLevel="0" collapsed="false">
      <c r="A23" s="9" t="s">
        <v>462</v>
      </c>
      <c r="C23" s="28" t="n">
        <v>-365</v>
      </c>
      <c r="D23" s="28" t="n">
        <v>-369</v>
      </c>
      <c r="E23" s="28" t="n">
        <v>-303</v>
      </c>
      <c r="F23" s="46" t="n">
        <f aca="false">-'Income Statement'!F52+('Balance Sheet'!F30-'Balance Sheet'!E30)</f>
        <v>-434.444626369369</v>
      </c>
      <c r="G23" s="46" t="n">
        <f aca="false">-'Income Statement'!G52+('Balance Sheet'!G30-'Balance Sheet'!F30)</f>
        <v>-342.703232435341</v>
      </c>
      <c r="H23" s="46" t="n">
        <f aca="false">-'Income Statement'!H52+('Balance Sheet'!H30-'Balance Sheet'!G30)</f>
        <v>-419.967392789632</v>
      </c>
      <c r="I23" s="46" t="n">
        <f aca="false">-'Income Statement'!I52+('Balance Sheet'!I30-'Balance Sheet'!H30)</f>
        <v>-509.749908419954</v>
      </c>
      <c r="J23" s="46" t="n">
        <f aca="false">-'Income Statement'!J52+('Balance Sheet'!J30-'Balance Sheet'!I30)</f>
        <v>-579.603594340552</v>
      </c>
      <c r="K23" s="46" t="n">
        <f aca="false">-'Income Statement'!K52+('Balance Sheet'!K30-'Balance Sheet'!J30)</f>
        <v>-636.183992814182</v>
      </c>
    </row>
    <row r="24" customFormat="false" ht="15" hidden="false" customHeight="false" outlineLevel="0" collapsed="false">
      <c r="A24" s="6" t="s">
        <v>463</v>
      </c>
      <c r="C24" s="47" t="n">
        <f aca="false">C22+C23</f>
        <v>1757</v>
      </c>
      <c r="D24" s="47" t="n">
        <f aca="false">D22+D23</f>
        <v>1405</v>
      </c>
      <c r="E24" s="47" t="n">
        <f aca="false">E22+E23</f>
        <v>2838</v>
      </c>
      <c r="F24" s="48" t="n">
        <f aca="false">F22+F23</f>
        <v>1051.63033999227</v>
      </c>
      <c r="G24" s="48" t="n">
        <f aca="false">G22+G23</f>
        <v>1694.84180885731</v>
      </c>
      <c r="H24" s="48" t="n">
        <f aca="false">H22+H23</f>
        <v>2175.74238136436</v>
      </c>
      <c r="I24" s="48" t="n">
        <f aca="false">I22+I23</f>
        <v>2537.51233161991</v>
      </c>
      <c r="J24" s="48" t="n">
        <f aca="false">J22+J23</f>
        <v>2783.03024980126</v>
      </c>
      <c r="K24" s="48" t="n">
        <f aca="false">K22+K23</f>
        <v>2935.52355790678</v>
      </c>
    </row>
    <row r="25" customFormat="false" ht="15" hidden="false" customHeight="false" outlineLevel="0" collapsed="false">
      <c r="A25" s="4" t="s">
        <v>464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" hidden="false" customHeight="false" outlineLevel="0" collapsed="false">
      <c r="A26" s="43" t="s">
        <v>465</v>
      </c>
      <c r="C26" s="73" t="n">
        <f aca="false">-C27/'Income Statement'!C6</f>
        <v>0.00968756814004922</v>
      </c>
      <c r="D26" s="73" t="n">
        <f aca="false">-D27/'Income Statement'!D6</f>
        <v>0.00735521833384949</v>
      </c>
      <c r="E26" s="73" t="n">
        <f aca="false">-E27/'Income Statement'!E6</f>
        <v>0.00530503978779841</v>
      </c>
      <c r="F26" s="74" t="n">
        <v>0.007</v>
      </c>
      <c r="G26" s="74" t="n">
        <v>0.0075</v>
      </c>
      <c r="H26" s="74" t="n">
        <v>0.0075</v>
      </c>
      <c r="I26" s="74" t="n">
        <v>0.0075</v>
      </c>
      <c r="J26" s="74" t="n">
        <v>0.0075</v>
      </c>
      <c r="K26" s="74" t="n">
        <v>0.0075</v>
      </c>
      <c r="M26" s="19" t="s">
        <v>466</v>
      </c>
    </row>
    <row r="27" customFormat="false" ht="15" hidden="false" customHeight="false" outlineLevel="0" collapsed="false">
      <c r="A27" s="9" t="s">
        <v>467</v>
      </c>
      <c r="C27" s="28" t="n">
        <v>-311</v>
      </c>
      <c r="D27" s="28" t="n">
        <v>-285</v>
      </c>
      <c r="E27" s="28" t="n">
        <v>-222</v>
      </c>
      <c r="F27" s="46" t="n">
        <f aca="false">-F26*'Income Statement'!F6</f>
        <v>-293.17806</v>
      </c>
      <c r="G27" s="46" t="n">
        <f aca="false">-G26*'Income Statement'!G6</f>
        <v>-329.171562</v>
      </c>
      <c r="H27" s="46" t="n">
        <f aca="false">-H26*'Income Statement'!H6</f>
        <v>-352.19953728</v>
      </c>
      <c r="I27" s="46" t="n">
        <f aca="false">-I26*'Income Statement'!I6</f>
        <v>-376.3093726512</v>
      </c>
      <c r="J27" s="46" t="n">
        <f aca="false">-J26*'Income Statement'!J6</f>
        <v>-400.275689226048</v>
      </c>
      <c r="K27" s="46" t="n">
        <f aca="false">-K26*'Income Statement'!K6</f>
        <v>-422.817333903896</v>
      </c>
    </row>
    <row r="28" customFormat="false" ht="15" hidden="false" customHeight="false" outlineLevel="0" collapsed="false">
      <c r="A28" s="9" t="s">
        <v>468</v>
      </c>
      <c r="C28" s="28" t="n">
        <v>273</v>
      </c>
      <c r="D28" s="28" t="n">
        <v>578</v>
      </c>
      <c r="E28" s="28" t="n">
        <v>565</v>
      </c>
      <c r="F28" s="59" t="n">
        <f aca="false">'Income Statement'!F47</f>
        <v>584.835255258126</v>
      </c>
      <c r="G28" s="59" t="n">
        <f aca="false">'Income Statement'!G47</f>
        <v>500.971813084632</v>
      </c>
      <c r="H28" s="59" t="n">
        <f aca="false">'Income Statement'!H47</f>
        <v>506.903876306039</v>
      </c>
      <c r="I28" s="59" t="n">
        <f aca="false">'Income Statement'!I47</f>
        <v>534.315586215624</v>
      </c>
      <c r="J28" s="59" t="n">
        <f aca="false">'Income Statement'!J47</f>
        <v>582.11556515511</v>
      </c>
      <c r="K28" s="59" t="n">
        <f aca="false">'Income Statement'!K47</f>
        <v>632.583526722092</v>
      </c>
    </row>
    <row r="29" customFormat="false" ht="15" hidden="false" customHeight="false" outlineLevel="0" collapsed="false">
      <c r="A29" s="9" t="s">
        <v>469</v>
      </c>
      <c r="C29" s="28" t="n">
        <v>-3893</v>
      </c>
      <c r="D29" s="28" t="n">
        <v>-2064</v>
      </c>
      <c r="E29" s="28" t="n">
        <v>-1368</v>
      </c>
      <c r="F29" s="46" t="n">
        <f aca="false">-(('Balance Sheet'!F8-'Balance Sheet'!E8)+('Balance Sheet'!F21-'Balance Sheet'!E21))</f>
        <v>-1822</v>
      </c>
      <c r="G29" s="46" t="n">
        <f aca="false">-(('Balance Sheet'!G8-'Balance Sheet'!F8)+('Balance Sheet'!G21-'Balance Sheet'!F21))</f>
        <v>-0</v>
      </c>
      <c r="H29" s="46" t="n">
        <f aca="false">-(('Balance Sheet'!H8-'Balance Sheet'!G8)+('Balance Sheet'!H21-'Balance Sheet'!G21))</f>
        <v>-0</v>
      </c>
      <c r="I29" s="46" t="n">
        <f aca="false">-(('Balance Sheet'!I8-'Balance Sheet'!H8)+('Balance Sheet'!I21-'Balance Sheet'!H21))</f>
        <v>-0</v>
      </c>
      <c r="J29" s="46" t="n">
        <f aca="false">-(('Balance Sheet'!J8-'Balance Sheet'!I8)+('Balance Sheet'!J21-'Balance Sheet'!I21))</f>
        <v>-0</v>
      </c>
      <c r="K29" s="46" t="n">
        <f aca="false">-(('Balance Sheet'!K8-'Balance Sheet'!J8)+('Balance Sheet'!K21-'Balance Sheet'!J21))</f>
        <v>-0</v>
      </c>
    </row>
    <row r="30" customFormat="false" ht="15" hidden="false" customHeight="false" outlineLevel="0" collapsed="false">
      <c r="A30" s="9" t="s">
        <v>470</v>
      </c>
      <c r="C30" s="28" t="n">
        <v>3</v>
      </c>
      <c r="D30" s="28" t="n">
        <v>-33</v>
      </c>
      <c r="E30" s="28" t="n">
        <v>14</v>
      </c>
      <c r="F30" s="46" t="n">
        <f aca="false">-(('Balance Sheet'!F16-'Balance Sheet'!E16)+('Balance Sheet'!F20-'Balance Sheet'!E20))-(('Balance Sheet'!F19-'Balance Sheet'!E19)-'Income Statement'!F45)</f>
        <v>-101</v>
      </c>
      <c r="G30" s="46" t="n">
        <f aca="false">-(('Balance Sheet'!G16-'Balance Sheet'!F16)+('Balance Sheet'!G20-'Balance Sheet'!F20))-(('Balance Sheet'!G19-'Balance Sheet'!F19)-'Income Statement'!G45)</f>
        <v>-0</v>
      </c>
      <c r="H30" s="46" t="n">
        <f aca="false">-(('Balance Sheet'!H16-'Balance Sheet'!G16)+('Balance Sheet'!H20-'Balance Sheet'!G20))-(('Balance Sheet'!H19-'Balance Sheet'!G19)-'Income Statement'!H45)</f>
        <v>-0</v>
      </c>
      <c r="I30" s="46" t="n">
        <f aca="false">-(('Balance Sheet'!I16-'Balance Sheet'!H16)+('Balance Sheet'!I20-'Balance Sheet'!H20))-(('Balance Sheet'!I19-'Balance Sheet'!H19)-'Income Statement'!I45)</f>
        <v>-0</v>
      </c>
      <c r="J30" s="46" t="n">
        <f aca="false">-(('Balance Sheet'!J16-'Balance Sheet'!I16)+('Balance Sheet'!J20-'Balance Sheet'!I20))-(('Balance Sheet'!J19-'Balance Sheet'!I19)-'Income Statement'!J45)</f>
        <v>-0</v>
      </c>
      <c r="K30" s="46" t="n">
        <f aca="false">-(('Balance Sheet'!K16-'Balance Sheet'!J16)+('Balance Sheet'!K20-'Balance Sheet'!J20))-(('Balance Sheet'!K19-'Balance Sheet'!J19)-'Income Statement'!K45)</f>
        <v>-0</v>
      </c>
    </row>
    <row r="31" customFormat="false" ht="15" hidden="false" customHeight="false" outlineLevel="0" collapsed="false">
      <c r="A31" s="9" t="s">
        <v>471</v>
      </c>
      <c r="C31" s="28" t="n">
        <v>-240</v>
      </c>
      <c r="D31" s="28" t="n">
        <v>-16</v>
      </c>
      <c r="E31" s="28" t="n">
        <v>-55</v>
      </c>
      <c r="F31" s="46" t="n">
        <f aca="false">-(('Balance Sheet'!F7-'Balance Sheet'!E7)+('Balance Sheet'!F17-'Balance Sheet'!E17))</f>
        <v>-78</v>
      </c>
      <c r="G31" s="46" t="n">
        <f aca="false">-(('Balance Sheet'!G7-'Balance Sheet'!F7)+('Balance Sheet'!G17-'Balance Sheet'!F17))</f>
        <v>-0</v>
      </c>
      <c r="H31" s="46" t="n">
        <f aca="false">-(('Balance Sheet'!H7-'Balance Sheet'!G7)+('Balance Sheet'!H17-'Balance Sheet'!G17))</f>
        <v>-0</v>
      </c>
      <c r="I31" s="46" t="n">
        <f aca="false">-(('Balance Sheet'!I7-'Balance Sheet'!H7)+('Balance Sheet'!I17-'Balance Sheet'!H17))</f>
        <v>-0</v>
      </c>
      <c r="J31" s="46" t="n">
        <f aca="false">-(('Balance Sheet'!J7-'Balance Sheet'!I7)+('Balance Sheet'!J17-'Balance Sheet'!I17))</f>
        <v>-0</v>
      </c>
      <c r="K31" s="46" t="n">
        <f aca="false">-(('Balance Sheet'!K7-'Balance Sheet'!J7)+('Balance Sheet'!K17-'Balance Sheet'!J17))</f>
        <v>-0</v>
      </c>
    </row>
    <row r="32" customFormat="false" ht="15" hidden="false" customHeight="false" outlineLevel="0" collapsed="false">
      <c r="A32" s="6" t="s">
        <v>472</v>
      </c>
      <c r="C32" s="47" t="n">
        <f aca="false">C27+C28+C29+C30+C31</f>
        <v>-4168</v>
      </c>
      <c r="D32" s="47" t="n">
        <f aca="false">D27+D28+D29+D30+D31</f>
        <v>-1820</v>
      </c>
      <c r="E32" s="47" t="n">
        <f aca="false">E27+E28+E29+E30+E31</f>
        <v>-1066</v>
      </c>
      <c r="F32" s="48" t="n">
        <f aca="false">F27+F28+F29+F30+F31</f>
        <v>-1709.34280474187</v>
      </c>
      <c r="G32" s="48" t="n">
        <f aca="false">G27+G28+G29+G30+G31</f>
        <v>171.800251084632</v>
      </c>
      <c r="H32" s="48" t="n">
        <f aca="false">H27+H28+H29+H30+H31</f>
        <v>154.704339026039</v>
      </c>
      <c r="I32" s="48" t="n">
        <f aca="false">I27+I28+I29+I30+I31</f>
        <v>158.006213564424</v>
      </c>
      <c r="J32" s="48" t="n">
        <f aca="false">J27+J28+J29+J30+J31</f>
        <v>181.839875929062</v>
      </c>
      <c r="K32" s="48" t="n">
        <f aca="false">K27+K28+K29+K30+K31</f>
        <v>209.766192818197</v>
      </c>
    </row>
    <row r="33" customFormat="false" ht="15" hidden="false" customHeight="false" outlineLevel="0" collapsed="false">
      <c r="A33" s="4" t="s">
        <v>473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5" hidden="false" customHeight="false" outlineLevel="0" collapsed="false">
      <c r="A34" s="9" t="s">
        <v>474</v>
      </c>
      <c r="C34" s="28" t="n">
        <v>1737</v>
      </c>
      <c r="D34" s="28" t="n">
        <v>-18</v>
      </c>
      <c r="E34" s="28" t="n">
        <v>0</v>
      </c>
      <c r="F34" s="60" t="n">
        <v>0</v>
      </c>
      <c r="G34" s="60" t="n">
        <v>0</v>
      </c>
      <c r="H34" s="60" t="n">
        <v>0</v>
      </c>
      <c r="I34" s="60" t="n">
        <v>0</v>
      </c>
      <c r="J34" s="60" t="n">
        <v>0</v>
      </c>
      <c r="K34" s="60" t="n">
        <v>0</v>
      </c>
    </row>
    <row r="35" customFormat="false" ht="15" hidden="false" customHeight="false" outlineLevel="0" collapsed="false">
      <c r="A35" s="9" t="s">
        <v>97</v>
      </c>
      <c r="C35" s="28" t="n">
        <v>0</v>
      </c>
      <c r="D35" s="28" t="n">
        <v>0</v>
      </c>
      <c r="E35" s="28" t="n">
        <v>0</v>
      </c>
      <c r="F35" s="59" t="n">
        <f aca="false">Inputs!$C$25</f>
        <v>1684.39770554493</v>
      </c>
      <c r="G35" s="60" t="n">
        <v>0</v>
      </c>
      <c r="H35" s="60" t="n">
        <v>0</v>
      </c>
      <c r="I35" s="60" t="n">
        <v>0</v>
      </c>
      <c r="J35" s="60" t="n">
        <v>0</v>
      </c>
      <c r="K35" s="60" t="n">
        <v>0</v>
      </c>
    </row>
    <row r="36" customFormat="false" ht="15" hidden="false" customHeight="false" outlineLevel="0" collapsed="false">
      <c r="A36" s="9" t="s">
        <v>475</v>
      </c>
      <c r="C36" s="28" t="n">
        <v>0</v>
      </c>
      <c r="D36" s="28" t="n">
        <v>0</v>
      </c>
      <c r="E36" s="28" t="n">
        <v>0</v>
      </c>
      <c r="F36" s="46" t="n">
        <f aca="false">-(Inputs!$C$27+Inputs!$C$29)</f>
        <v>-1312</v>
      </c>
      <c r="G36" s="60" t="n">
        <v>0</v>
      </c>
      <c r="H36" s="60" t="n">
        <v>0</v>
      </c>
      <c r="I36" s="60" t="n">
        <v>0</v>
      </c>
      <c r="J36" s="60" t="n">
        <v>0</v>
      </c>
      <c r="K36" s="60" t="n">
        <v>0</v>
      </c>
    </row>
    <row r="37" customFormat="false" ht="15" hidden="false" customHeight="false" outlineLevel="0" collapsed="false">
      <c r="A37" s="9" t="s">
        <v>476</v>
      </c>
      <c r="C37" s="28" t="n">
        <v>0</v>
      </c>
      <c r="D37" s="28" t="n">
        <v>0</v>
      </c>
      <c r="E37" s="28" t="n">
        <v>0</v>
      </c>
      <c r="F37" s="46" t="n">
        <f aca="false">-Inputs!$C$26</f>
        <v>-2200</v>
      </c>
      <c r="G37" s="60" t="n">
        <v>0</v>
      </c>
      <c r="H37" s="60" t="n">
        <v>0</v>
      </c>
      <c r="I37" s="60" t="n">
        <v>0</v>
      </c>
      <c r="J37" s="60" t="n">
        <v>0</v>
      </c>
      <c r="K37" s="60" t="n">
        <v>0</v>
      </c>
    </row>
    <row r="38" customFormat="false" ht="15" hidden="false" customHeight="false" outlineLevel="0" collapsed="false">
      <c r="A38" s="9" t="s">
        <v>477</v>
      </c>
      <c r="C38" s="28" t="n">
        <v>-127</v>
      </c>
      <c r="D38" s="28" t="n">
        <v>-188</v>
      </c>
      <c r="E38" s="28" t="n">
        <v>-284</v>
      </c>
      <c r="F38" s="46" t="n">
        <f aca="false">-'Income Statement'!F38</f>
        <v>-284.801544</v>
      </c>
      <c r="G38" s="46" t="n">
        <f aca="false">-'Income Statement'!G38</f>
        <v>-298.44888288</v>
      </c>
      <c r="H38" s="46" t="n">
        <f aca="false">-'Income Statement'!H38</f>
        <v>-319.3275804672</v>
      </c>
      <c r="I38" s="46" t="n">
        <f aca="false">-'Income Statement'!I38</f>
        <v>-341.187164537088</v>
      </c>
      <c r="J38" s="46" t="n">
        <f aca="false">-'Income Statement'!J38</f>
        <v>-362.916624898284</v>
      </c>
      <c r="K38" s="46" t="n">
        <f aca="false">-'Income Statement'!K38</f>
        <v>-383.354382739532</v>
      </c>
    </row>
    <row r="39" customFormat="false" ht="15" hidden="false" customHeight="false" outlineLevel="0" collapsed="false">
      <c r="A39" s="9" t="s">
        <v>478</v>
      </c>
      <c r="C39" s="28" t="n">
        <v>-6</v>
      </c>
      <c r="D39" s="28" t="n">
        <v>0</v>
      </c>
      <c r="E39" s="28" t="n">
        <v>0</v>
      </c>
      <c r="F39" s="46" t="n">
        <f aca="false">-'Income Statement'!E69</f>
        <v>-0</v>
      </c>
      <c r="G39" s="46" t="n">
        <f aca="false">-'Income Statement'!F69</f>
        <v>-575.139335444377</v>
      </c>
      <c r="H39" s="46" t="n">
        <f aca="false">-'Income Statement'!G69</f>
        <v>-728.67527786265</v>
      </c>
      <c r="I39" s="46" t="n">
        <f aca="false">-'Income Statement'!H69</f>
        <v>-905.847170359803</v>
      </c>
      <c r="J39" s="46" t="n">
        <f aca="false">-'Income Statement'!I69</f>
        <v>-1072.62133213559</v>
      </c>
      <c r="K39" s="46" t="n">
        <f aca="false">-'Income Statement'!J69</f>
        <v>-1198.27441377572</v>
      </c>
    </row>
    <row r="40" customFormat="false" ht="15" hidden="false" customHeight="false" outlineLevel="0" collapsed="false">
      <c r="A40" s="9" t="s">
        <v>479</v>
      </c>
      <c r="C40" s="28" t="n">
        <v>-5</v>
      </c>
      <c r="D40" s="28" t="n">
        <v>0</v>
      </c>
      <c r="E40" s="28" t="n">
        <v>0</v>
      </c>
      <c r="F40" s="60" t="n">
        <v>0</v>
      </c>
      <c r="G40" s="60" t="n">
        <v>0</v>
      </c>
      <c r="H40" s="60" t="n">
        <v>0</v>
      </c>
      <c r="I40" s="60" t="n">
        <v>0</v>
      </c>
      <c r="J40" s="60" t="n">
        <v>0</v>
      </c>
      <c r="K40" s="60" t="n">
        <v>0</v>
      </c>
    </row>
    <row r="41" customFormat="false" ht="15" hidden="false" customHeight="false" outlineLevel="0" collapsed="false">
      <c r="A41" s="6" t="s">
        <v>480</v>
      </c>
      <c r="C41" s="47" t="n">
        <f aca="false">SUM(C34:C40)</f>
        <v>1599</v>
      </c>
      <c r="D41" s="47" t="n">
        <f aca="false">SUM(D34:D40)</f>
        <v>-206</v>
      </c>
      <c r="E41" s="47" t="n">
        <f aca="false">SUM(E34:E40)</f>
        <v>-284</v>
      </c>
      <c r="F41" s="48" t="n">
        <f aca="false">SUM(F34:F40)</f>
        <v>-2112.40383845507</v>
      </c>
      <c r="G41" s="48" t="n">
        <f aca="false">SUM(G34:G40)</f>
        <v>-873.588218324377</v>
      </c>
      <c r="H41" s="48" t="n">
        <f aca="false">SUM(H34:H40)</f>
        <v>-1048.00285832985</v>
      </c>
      <c r="I41" s="48" t="n">
        <f aca="false">SUM(I34:I40)</f>
        <v>-1247.03433489689</v>
      </c>
      <c r="J41" s="48" t="n">
        <f aca="false">SUM(J34:J40)</f>
        <v>-1435.53795703388</v>
      </c>
      <c r="K41" s="48" t="n">
        <f aca="false">SUM(K34:K40)</f>
        <v>-1581.62879651525</v>
      </c>
    </row>
    <row r="42" customFormat="false" ht="15" hidden="false" customHeight="false" outlineLevel="0" collapsed="false">
      <c r="A42" s="9" t="s">
        <v>481</v>
      </c>
      <c r="C42" s="28" t="n">
        <v>36</v>
      </c>
      <c r="D42" s="28" t="n">
        <v>32</v>
      </c>
      <c r="E42" s="28" t="n">
        <v>88</v>
      </c>
      <c r="F42" s="60" t="n">
        <v>0</v>
      </c>
      <c r="G42" s="60" t="n">
        <v>0</v>
      </c>
      <c r="H42" s="60" t="n">
        <v>0</v>
      </c>
      <c r="I42" s="60" t="n">
        <v>0</v>
      </c>
      <c r="J42" s="60" t="n">
        <v>0</v>
      </c>
      <c r="K42" s="60" t="n">
        <v>0</v>
      </c>
    </row>
    <row r="43" customFormat="false" ht="15" hidden="false" customHeight="false" outlineLevel="0" collapsed="false">
      <c r="A43" s="6" t="s">
        <v>482</v>
      </c>
      <c r="C43" s="47" t="n">
        <f aca="false">C24+C32+C41+C42</f>
        <v>-776</v>
      </c>
      <c r="D43" s="47" t="n">
        <f aca="false">D24+D32+D41+D42</f>
        <v>-589</v>
      </c>
      <c r="E43" s="47" t="n">
        <f aca="false">E24+E32+E41+E42</f>
        <v>1576</v>
      </c>
      <c r="F43" s="48" t="n">
        <f aca="false">F24+F32+F41+F42</f>
        <v>-2770.11630320467</v>
      </c>
      <c r="G43" s="48" t="n">
        <f aca="false">G24+G32+G41+G42</f>
        <v>993.053841617568</v>
      </c>
      <c r="H43" s="48" t="n">
        <f aca="false">H24+H32+H41+H42</f>
        <v>1282.44386206055</v>
      </c>
      <c r="I43" s="48" t="n">
        <f aca="false">I24+I32+I41+I42</f>
        <v>1448.48421028745</v>
      </c>
      <c r="J43" s="48" t="n">
        <f aca="false">J24+J32+J41+J42</f>
        <v>1529.33216869644</v>
      </c>
      <c r="K43" s="48" t="n">
        <f aca="false">K24+K32+K41+K42</f>
        <v>1563.66095420973</v>
      </c>
    </row>
    <row r="44" customFormat="false" ht="15" hidden="false" customHeight="false" outlineLevel="0" collapsed="false">
      <c r="A44" s="9" t="s">
        <v>483</v>
      </c>
      <c r="C44" s="28" t="n">
        <v>4270</v>
      </c>
      <c r="D44" s="28" t="n">
        <v>3494</v>
      </c>
      <c r="E44" s="28" t="n">
        <v>2905</v>
      </c>
      <c r="F44" s="46" t="n">
        <f aca="false">E45</f>
        <v>4481</v>
      </c>
      <c r="G44" s="46" t="n">
        <f aca="false">F45</f>
        <v>1710.88369679533</v>
      </c>
      <c r="H44" s="46" t="n">
        <f aca="false">G45</f>
        <v>2703.9375384129</v>
      </c>
      <c r="I44" s="46" t="n">
        <f aca="false">H45</f>
        <v>3986.38140047345</v>
      </c>
      <c r="J44" s="46" t="n">
        <f aca="false">I45</f>
        <v>5434.8656107609</v>
      </c>
      <c r="K44" s="46" t="n">
        <f aca="false">J45</f>
        <v>6964.19777945734</v>
      </c>
    </row>
    <row r="45" customFormat="false" ht="15" hidden="false" customHeight="false" outlineLevel="0" collapsed="false">
      <c r="A45" s="6" t="s">
        <v>484</v>
      </c>
      <c r="C45" s="47" t="n">
        <f aca="false">C44+C43</f>
        <v>3494</v>
      </c>
      <c r="D45" s="47" t="n">
        <f aca="false">D44+D43</f>
        <v>2905</v>
      </c>
      <c r="E45" s="47" t="n">
        <f aca="false">E44+E43</f>
        <v>4481</v>
      </c>
      <c r="F45" s="48" t="n">
        <f aca="false">F44+F43</f>
        <v>1710.88369679533</v>
      </c>
      <c r="G45" s="48" t="n">
        <f aca="false">G44+G43</f>
        <v>2703.9375384129</v>
      </c>
      <c r="H45" s="48" t="n">
        <f aca="false">H44+H43</f>
        <v>3986.38140047345</v>
      </c>
      <c r="I45" s="48" t="n">
        <f aca="false">I44+I43</f>
        <v>5434.8656107609</v>
      </c>
      <c r="J45" s="48" t="n">
        <f aca="false">J44+J43</f>
        <v>6964.19777945734</v>
      </c>
      <c r="K45" s="48" t="n">
        <f aca="false">K44+K43</f>
        <v>8527.85873366707</v>
      </c>
    </row>
    <row r="46" customFormat="false" ht="15" hidden="false" customHeight="false" outlineLevel="0" collapsed="false">
      <c r="A46" s="4" t="s">
        <v>485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customFormat="false" ht="15" hidden="false" customHeight="false" outlineLevel="0" collapsed="false">
      <c r="A47" s="6" t="s">
        <v>486</v>
      </c>
      <c r="C47" s="57" t="n">
        <f aca="false">C24+C27+C38</f>
        <v>1319</v>
      </c>
      <c r="D47" s="57" t="n">
        <f aca="false">D24+D27+D38</f>
        <v>932</v>
      </c>
      <c r="E47" s="57" t="n">
        <f aca="false">E24+E27+E38</f>
        <v>2332</v>
      </c>
      <c r="F47" s="58" t="n">
        <f aca="false">F24+F27+F38</f>
        <v>473.650735992272</v>
      </c>
      <c r="G47" s="58" t="n">
        <f aca="false">G24+G27+G38</f>
        <v>1067.22136397731</v>
      </c>
      <c r="H47" s="58" t="n">
        <f aca="false">H24+H27+H38</f>
        <v>1504.21526361716</v>
      </c>
      <c r="I47" s="58" t="n">
        <f aca="false">I24+I27+I38</f>
        <v>1820.01579443163</v>
      </c>
      <c r="J47" s="58" t="n">
        <f aca="false">J24+J27+J38</f>
        <v>2019.83793567693</v>
      </c>
      <c r="K47" s="58" t="n">
        <f aca="false">K24+K27+K38</f>
        <v>2129.35184126335</v>
      </c>
    </row>
    <row r="48" customFormat="false" ht="15" hidden="false" customHeight="false" outlineLevel="0" collapsed="false">
      <c r="A48" s="9" t="s">
        <v>487</v>
      </c>
      <c r="C48" s="26" t="n">
        <f aca="false">C47+C28</f>
        <v>1592</v>
      </c>
      <c r="D48" s="26" t="n">
        <f aca="false">D47+D28</f>
        <v>1510</v>
      </c>
      <c r="E48" s="26" t="n">
        <f aca="false">E47+E28</f>
        <v>2897</v>
      </c>
      <c r="F48" s="46" t="n">
        <f aca="false">F47+F28</f>
        <v>1058.4859912504</v>
      </c>
      <c r="G48" s="46" t="n">
        <f aca="false">G47+G28</f>
        <v>1568.19317706194</v>
      </c>
      <c r="H48" s="46" t="n">
        <f aca="false">H47+H28</f>
        <v>2011.1191399232</v>
      </c>
      <c r="I48" s="46" t="n">
        <f aca="false">I47+I28</f>
        <v>2354.33138064725</v>
      </c>
      <c r="J48" s="46" t="n">
        <f aca="false">J47+J28</f>
        <v>2601.95350083204</v>
      </c>
      <c r="K48" s="46" t="n">
        <f aca="false">K47+K28</f>
        <v>2761.93536798544</v>
      </c>
    </row>
    <row r="49" customFormat="false" ht="15" hidden="false" customHeight="false" outlineLevel="0" collapsed="false">
      <c r="A49" s="43" t="s">
        <v>488</v>
      </c>
      <c r="C49" s="50" t="n">
        <f aca="false">C48/'Income Statement'!C6</f>
        <v>0.0495903809612809</v>
      </c>
      <c r="D49" s="50" t="n">
        <f aca="false">D48/'Income Statement'!D6</f>
        <v>0.0389697532775885</v>
      </c>
      <c r="E49" s="50" t="n">
        <f aca="false">E48/'Income Statement'!E6</f>
        <v>0.0692283795732072</v>
      </c>
      <c r="F49" s="51" t="n">
        <f aca="false">F48/'Income Statement'!F6</f>
        <v>0.0252727026666074</v>
      </c>
      <c r="G49" s="51" t="n">
        <f aca="false">G48/'Income Statement'!G6</f>
        <v>0.0357304524014884</v>
      </c>
      <c r="H49" s="51" t="n">
        <f aca="false">H48/'Income Statement'!H6</f>
        <v>0.0428262730437168</v>
      </c>
      <c r="I49" s="51" t="n">
        <f aca="false">I48/'Income Statement'!I6</f>
        <v>0.0469227891679994</v>
      </c>
      <c r="J49" s="51" t="n">
        <f aca="false">J48/'Income Statement'!J6</f>
        <v>0.0487530264302905</v>
      </c>
      <c r="K49" s="51" t="n">
        <f aca="false">K48/'Income Statement'!K6</f>
        <v>0.0489916415408814</v>
      </c>
    </row>
    <row r="50" customFormat="false" ht="15" hidden="false" customHeight="false" outlineLevel="0" collapsed="false">
      <c r="A50" s="43" t="s">
        <v>489</v>
      </c>
      <c r="C50" s="50" t="n">
        <f aca="false">IFERROR(C48/'Income Statement'!C58,0)</f>
        <v>0.96895922093731</v>
      </c>
      <c r="D50" s="50" t="n">
        <f aca="false">IFERROR(D48/'Income Statement'!D58,0)</f>
        <v>1.34941912421805</v>
      </c>
      <c r="E50" s="50" t="n">
        <f aca="false">IFERROR(E48/'Income Statement'!E58,0)</f>
        <v>1.59526431718062</v>
      </c>
      <c r="F50" s="51" t="n">
        <f aca="false">IFERROR(F48/'Income Statement'!F58,0)</f>
        <v>0.920199616004848</v>
      </c>
      <c r="G50" s="51" t="n">
        <f aca="false">IFERROR(G48/'Income Statement'!G58,0)</f>
        <v>1.07605762450304</v>
      </c>
      <c r="H50" s="51" t="n">
        <f aca="false">IFERROR(H48/'Income Statement'!H58,0)</f>
        <v>1.11007640456854</v>
      </c>
      <c r="I50" s="51" t="n">
        <f aca="false">IFERROR(I48/'Income Statement'!I58,0)</f>
        <v>1.09746623067796</v>
      </c>
      <c r="J50" s="51" t="n">
        <f aca="false">IFERROR(J48/'Income Statement'!J58,0)</f>
        <v>1.08570852841353</v>
      </c>
      <c r="K50" s="51" t="n">
        <f aca="false">IFERROR(K48/'Income Statement'!K58,0)</f>
        <v>1.06692707164915</v>
      </c>
    </row>
    <row r="51" customFormat="false" ht="15" hidden="false" customHeight="false" outlineLevel="0" collapsed="false">
      <c r="A51" s="43" t="s">
        <v>490</v>
      </c>
      <c r="C51" s="50" t="n">
        <f aca="false">C48/Inputs!$C$20</f>
        <v>0.0916377789220009</v>
      </c>
      <c r="D51" s="50" t="n">
        <f aca="false">D48/Inputs!$C$20</f>
        <v>0.0869177425704908</v>
      </c>
      <c r="E51" s="50" t="n">
        <f aca="false">E48/Inputs!$C$20</f>
        <v>0.166755430613716</v>
      </c>
      <c r="F51" s="51" t="n">
        <f aca="false">F48/Inputs!$C$20</f>
        <v>0.0609279555642205</v>
      </c>
      <c r="G51" s="51" t="n">
        <f aca="false">G48/Inputs!$C$20</f>
        <v>0.0902674244136889</v>
      </c>
      <c r="H51" s="51" t="n">
        <f aca="false">H48/Inputs!$C$20</f>
        <v>0.115762871312869</v>
      </c>
      <c r="I51" s="51" t="n">
        <f aca="false">I48/Inputs!$C$20</f>
        <v>0.135518654879951</v>
      </c>
      <c r="J51" s="51" t="n">
        <f aca="false">J48/Inputs!$C$20</f>
        <v>0.149772135473978</v>
      </c>
      <c r="K51" s="51" t="n">
        <f aca="false">K48/Inputs!$C$20</f>
        <v>0.158980918748935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2" min="3" style="0" width="11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491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492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207</v>
      </c>
      <c r="C4" s="44" t="s">
        <v>308</v>
      </c>
      <c r="D4" s="44" t="s">
        <v>309</v>
      </c>
      <c r="E4" s="44" t="s">
        <v>212</v>
      </c>
      <c r="F4" s="44" t="s">
        <v>217</v>
      </c>
      <c r="G4" s="44" t="s">
        <v>158</v>
      </c>
      <c r="H4" s="44" t="s">
        <v>159</v>
      </c>
      <c r="I4" s="44" t="s">
        <v>160</v>
      </c>
      <c r="J4" s="44" t="s">
        <v>161</v>
      </c>
      <c r="K4" s="44" t="s">
        <v>162</v>
      </c>
      <c r="L4" s="37" t="s">
        <v>493</v>
      </c>
    </row>
    <row r="5" customFormat="false" ht="15" hidden="false" customHeight="false" outlineLevel="0" collapsed="false">
      <c r="A5" s="4" t="s">
        <v>494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9" t="s">
        <v>338</v>
      </c>
      <c r="C6" s="27" t="n">
        <f aca="false">'Income Statement'!C6</f>
        <v>32103</v>
      </c>
      <c r="D6" s="27" t="n">
        <f aca="false">'Income Statement'!D6</f>
        <v>38748</v>
      </c>
      <c r="E6" s="27" t="n">
        <f aca="false">'Income Statement'!E6</f>
        <v>41847</v>
      </c>
      <c r="F6" s="59" t="n">
        <f aca="false">'Income Statement'!F6</f>
        <v>41882.58</v>
      </c>
      <c r="G6" s="59" t="n">
        <f aca="false">'Income Statement'!G6</f>
        <v>43889.5416</v>
      </c>
      <c r="H6" s="59" t="n">
        <f aca="false">'Income Statement'!H6</f>
        <v>46959.938304</v>
      </c>
      <c r="I6" s="59" t="n">
        <f aca="false">'Income Statement'!I6</f>
        <v>50174.58302016</v>
      </c>
      <c r="J6" s="59" t="n">
        <f aca="false">'Income Statement'!J6</f>
        <v>53370.0918968064</v>
      </c>
      <c r="K6" s="59" t="n">
        <f aca="false">'Income Statement'!K6</f>
        <v>56375.6445205194</v>
      </c>
      <c r="L6" s="27" t="n">
        <f aca="false">Interim!J9</f>
        <v>21748.58</v>
      </c>
    </row>
    <row r="7" customFormat="false" ht="15" hidden="false" customHeight="false" outlineLevel="0" collapsed="false">
      <c r="A7" s="6" t="s">
        <v>495</v>
      </c>
      <c r="C7" s="71" t="n">
        <f aca="false">'Income Statement'!C29</f>
        <v>1376</v>
      </c>
      <c r="D7" s="71" t="n">
        <f aca="false">'Income Statement'!D29</f>
        <v>966</v>
      </c>
      <c r="E7" s="71" t="n">
        <f aca="false">'Income Statement'!E29</f>
        <v>1707</v>
      </c>
      <c r="F7" s="65" t="n">
        <f aca="false">'Income Statement'!F29</f>
        <v>1034.539642</v>
      </c>
      <c r="G7" s="65" t="n">
        <f aca="false">'Income Statement'!G29</f>
        <v>1305.05551947601</v>
      </c>
      <c r="H7" s="65" t="n">
        <f aca="false">'Income Statement'!H29</f>
        <v>1751.6056987392</v>
      </c>
      <c r="I7" s="65" t="n">
        <f aca="false">'Income Statement'!I29</f>
        <v>2150.23175532895</v>
      </c>
      <c r="J7" s="65" t="n">
        <f aca="false">'Income Statement'!J29</f>
        <v>2423.00217211501</v>
      </c>
      <c r="K7" s="65" t="n">
        <f aca="false">'Income Statement'!K29</f>
        <v>2616.95741864252</v>
      </c>
      <c r="L7" s="71" t="n">
        <f aca="false">Interim!J39</f>
        <v>541.539641999998</v>
      </c>
    </row>
    <row r="8" customFormat="false" ht="15" hidden="false" customHeight="false" outlineLevel="0" collapsed="false">
      <c r="A8" s="43" t="s">
        <v>496</v>
      </c>
      <c r="C8" s="50" t="n">
        <f aca="false">C7/C6</f>
        <v>0.0428620378157805</v>
      </c>
      <c r="D8" s="50" t="n">
        <f aca="false">D7/D6</f>
        <v>0.0249303189842056</v>
      </c>
      <c r="E8" s="50" t="n">
        <f aca="false">E7/E6</f>
        <v>0.040791454584558</v>
      </c>
      <c r="F8" s="51" t="n">
        <f aca="false">F7/F6</f>
        <v>0.0247009530453949</v>
      </c>
      <c r="G8" s="51" t="n">
        <f aca="false">G7/G6</f>
        <v>0.0297350000000002</v>
      </c>
      <c r="H8" s="51" t="n">
        <f aca="false">H7/H6</f>
        <v>0.0373</v>
      </c>
      <c r="I8" s="51" t="n">
        <f aca="false">I7/I6</f>
        <v>0.0428549999999999</v>
      </c>
      <c r="J8" s="51" t="n">
        <f aca="false">J7/J6</f>
        <v>0.0454</v>
      </c>
      <c r="K8" s="51" t="n">
        <f aca="false">K7/K6</f>
        <v>0.0464200000000001</v>
      </c>
      <c r="L8" s="50" t="n">
        <f aca="false">L7/L6</f>
        <v>0.0248999999999999</v>
      </c>
    </row>
    <row r="9" customFormat="false" ht="15" hidden="false" customHeight="false" outlineLevel="0" collapsed="false">
      <c r="A9" s="43" t="s">
        <v>497</v>
      </c>
      <c r="C9" s="88" t="n">
        <f aca="false">Inputs!$C$52</f>
        <v>0.22</v>
      </c>
      <c r="D9" s="88" t="n">
        <f aca="false">Inputs!$C$52</f>
        <v>0.22</v>
      </c>
      <c r="E9" s="88" t="n">
        <f aca="false">Inputs!$C$52</f>
        <v>0.22</v>
      </c>
      <c r="F9" s="61" t="n">
        <f aca="false">Inputs!$C$52</f>
        <v>0.22</v>
      </c>
      <c r="G9" s="61" t="n">
        <f aca="false">Inputs!$C$52</f>
        <v>0.22</v>
      </c>
      <c r="H9" s="61" t="n">
        <f aca="false">Inputs!$C$52</f>
        <v>0.22</v>
      </c>
      <c r="I9" s="61" t="n">
        <f aca="false">Inputs!$C$52</f>
        <v>0.22</v>
      </c>
      <c r="J9" s="61" t="n">
        <f aca="false">Inputs!$C$52</f>
        <v>0.22</v>
      </c>
      <c r="K9" s="61" t="n">
        <f aca="false">Inputs!$C$52</f>
        <v>0.22</v>
      </c>
      <c r="L9" s="88" t="n">
        <f aca="false">Inputs!$C$52</f>
        <v>0.22</v>
      </c>
    </row>
    <row r="10" customFormat="false" ht="15" hidden="false" customHeight="false" outlineLevel="0" collapsed="false">
      <c r="A10" s="9" t="s">
        <v>498</v>
      </c>
      <c r="C10" s="26" t="n">
        <f aca="false">-C7*C9</f>
        <v>-302.72</v>
      </c>
      <c r="D10" s="26" t="n">
        <f aca="false">-D7*D9</f>
        <v>-212.52</v>
      </c>
      <c r="E10" s="26" t="n">
        <f aca="false">-E7*E9</f>
        <v>-375.54</v>
      </c>
      <c r="F10" s="46" t="n">
        <f aca="false">-F7*F9</f>
        <v>-227.598721239999</v>
      </c>
      <c r="G10" s="46" t="n">
        <f aca="false">-G7*G9</f>
        <v>-287.112214284722</v>
      </c>
      <c r="H10" s="46" t="n">
        <f aca="false">-H7*H9</f>
        <v>-385.353253722624</v>
      </c>
      <c r="I10" s="46" t="n">
        <f aca="false">-I7*I9</f>
        <v>-473.05098617237</v>
      </c>
      <c r="J10" s="46" t="n">
        <f aca="false">-J7*J9</f>
        <v>-533.060477865303</v>
      </c>
      <c r="K10" s="46" t="n">
        <f aca="false">-K7*K9</f>
        <v>-575.730632101354</v>
      </c>
      <c r="L10" s="26" t="n">
        <f aca="false">-L7*L9</f>
        <v>-119.13872124</v>
      </c>
    </row>
    <row r="11" customFormat="false" ht="15" hidden="false" customHeight="false" outlineLevel="0" collapsed="false">
      <c r="A11" s="6" t="s">
        <v>499</v>
      </c>
      <c r="C11" s="47" t="n">
        <f aca="false">C7+C10</f>
        <v>1073.28</v>
      </c>
      <c r="D11" s="47" t="n">
        <f aca="false">D7+D10</f>
        <v>753.48</v>
      </c>
      <c r="E11" s="47" t="n">
        <f aca="false">E7+E10</f>
        <v>1331.46</v>
      </c>
      <c r="F11" s="48" t="n">
        <f aca="false">F7+F10</f>
        <v>806.940920759997</v>
      </c>
      <c r="G11" s="48" t="n">
        <f aca="false">G7+G10</f>
        <v>1017.94330519129</v>
      </c>
      <c r="H11" s="48" t="n">
        <f aca="false">H7+H10</f>
        <v>1366.25244501658</v>
      </c>
      <c r="I11" s="48" t="n">
        <f aca="false">I7+I10</f>
        <v>1677.18076915658</v>
      </c>
      <c r="J11" s="48" t="n">
        <f aca="false">J7+J10</f>
        <v>1889.94169424971</v>
      </c>
      <c r="K11" s="48" t="n">
        <f aca="false">K7+K10</f>
        <v>2041.22678654116</v>
      </c>
      <c r="L11" s="47" t="n">
        <f aca="false">L7+L10</f>
        <v>422.400920759998</v>
      </c>
    </row>
    <row r="12" customFormat="false" ht="15" hidden="false" customHeight="false" outlineLevel="0" collapsed="false">
      <c r="A12" s="9" t="s">
        <v>500</v>
      </c>
      <c r="C12" s="27" t="n">
        <f aca="false">'Income Statement'!C36</f>
        <v>58</v>
      </c>
      <c r="D12" s="27" t="n">
        <f aca="false">'Income Statement'!D36</f>
        <v>124</v>
      </c>
      <c r="E12" s="27" t="n">
        <f aca="false">'Income Statement'!E36</f>
        <v>151</v>
      </c>
      <c r="F12" s="59" t="n">
        <f aca="false">'Income Statement'!F36</f>
        <v>180.095094</v>
      </c>
      <c r="G12" s="59" t="n">
        <f aca="false">'Income Statement'!G36</f>
        <v>188.72502888</v>
      </c>
      <c r="H12" s="59" t="n">
        <f aca="false">'Income Statement'!H36</f>
        <v>201.9277347072</v>
      </c>
      <c r="I12" s="59" t="n">
        <f aca="false">'Income Statement'!I36</f>
        <v>215.750706986688</v>
      </c>
      <c r="J12" s="59" t="n">
        <f aca="false">'Income Statement'!J36</f>
        <v>229.491395156268</v>
      </c>
      <c r="K12" s="59" t="n">
        <f aca="false">'Income Statement'!K36</f>
        <v>242.415271438234</v>
      </c>
      <c r="L12" s="27" t="n">
        <f aca="false">Interim!J58</f>
        <v>93.095094</v>
      </c>
      <c r="M12" s="19" t="s">
        <v>501</v>
      </c>
    </row>
    <row r="13" customFormat="false" ht="15" hidden="false" customHeight="false" outlineLevel="0" collapsed="false">
      <c r="A13" s="9" t="s">
        <v>502</v>
      </c>
      <c r="C13" s="27" t="n">
        <f aca="false">'Cash Flow'!C27</f>
        <v>-311</v>
      </c>
      <c r="D13" s="27" t="n">
        <f aca="false">'Cash Flow'!D27</f>
        <v>-285</v>
      </c>
      <c r="E13" s="27" t="n">
        <f aca="false">'Cash Flow'!E27</f>
        <v>-222</v>
      </c>
      <c r="F13" s="59" t="n">
        <f aca="false">'Cash Flow'!F27</f>
        <v>-293.17806</v>
      </c>
      <c r="G13" s="59" t="n">
        <f aca="false">'Cash Flow'!G27</f>
        <v>-329.171562</v>
      </c>
      <c r="H13" s="59" t="n">
        <f aca="false">'Cash Flow'!H27</f>
        <v>-352.19953728</v>
      </c>
      <c r="I13" s="59" t="n">
        <f aca="false">'Cash Flow'!I27</f>
        <v>-376.3093726512</v>
      </c>
      <c r="J13" s="59" t="n">
        <f aca="false">'Cash Flow'!J27</f>
        <v>-400.275689226048</v>
      </c>
      <c r="K13" s="59" t="n">
        <f aca="false">'Cash Flow'!K27</f>
        <v>-422.817333903896</v>
      </c>
      <c r="L13" s="26" t="n">
        <f aca="false">-Interim!J60</f>
        <v>-153.17806</v>
      </c>
    </row>
    <row r="14" customFormat="false" ht="15" hidden="false" customHeight="false" outlineLevel="0" collapsed="false">
      <c r="A14" s="9" t="s">
        <v>503</v>
      </c>
      <c r="C14" s="27" t="n">
        <f aca="false">'Balance Sheet'!C58</f>
        <v>-2458</v>
      </c>
      <c r="D14" s="27" t="n">
        <f aca="false">'Balance Sheet'!D58</f>
        <v>-2918</v>
      </c>
      <c r="E14" s="27" t="n">
        <f aca="false">'Balance Sheet'!E58</f>
        <v>-4004</v>
      </c>
      <c r="F14" s="59" t="n">
        <f aca="false">'Balance Sheet'!F58</f>
        <v>-4092.63868636164</v>
      </c>
      <c r="G14" s="59" t="n">
        <f aca="false">'Balance Sheet'!G58</f>
        <v>-4303.78860881829</v>
      </c>
      <c r="H14" s="59" t="n">
        <f aca="false">'Balance Sheet'!H58</f>
        <v>-4592.07727651468</v>
      </c>
      <c r="I14" s="59" t="n">
        <f aca="false">'Balance Sheet'!I58</f>
        <v>-4897.43176423206</v>
      </c>
      <c r="J14" s="59" t="n">
        <f aca="false">'Balance Sheet'!J58</f>
        <v>-5209.71055404952</v>
      </c>
      <c r="K14" s="59" t="n">
        <f aca="false">'Balance Sheet'!K58</f>
        <v>-5503.25449873098</v>
      </c>
      <c r="L14" s="27" t="n">
        <f aca="false">'Balance Sheet'!F58</f>
        <v>-4092.63868636164</v>
      </c>
    </row>
    <row r="15" customFormat="false" ht="15" hidden="false" customHeight="false" outlineLevel="0" collapsed="false">
      <c r="A15" s="9" t="s">
        <v>504</v>
      </c>
      <c r="D15" s="26" t="n">
        <f aca="false">-(D14-C14)</f>
        <v>460</v>
      </c>
      <c r="E15" s="26" t="n">
        <f aca="false">-(E14-D14)</f>
        <v>1086</v>
      </c>
      <c r="F15" s="46" t="n">
        <f aca="false">-(F14-E14)</f>
        <v>88.6386863616444</v>
      </c>
      <c r="G15" s="46" t="n">
        <f aca="false">-(G14-F14)</f>
        <v>211.149922456645</v>
      </c>
      <c r="H15" s="46" t="n">
        <f aca="false">-(H14-G14)</f>
        <v>288.288667696394</v>
      </c>
      <c r="I15" s="46" t="n">
        <f aca="false">-(I14-H14)</f>
        <v>305.354487717378</v>
      </c>
      <c r="J15" s="46" t="n">
        <f aca="false">-(J14-I14)</f>
        <v>312.278789817457</v>
      </c>
      <c r="K15" s="46" t="n">
        <f aca="false">-(K14-J14)</f>
        <v>293.543944681458</v>
      </c>
      <c r="L15" s="26" t="n">
        <f aca="false">-(L14-Interim!I88)</f>
        <v>-881.361313638356</v>
      </c>
      <c r="M15" s="19" t="s">
        <v>505</v>
      </c>
    </row>
    <row r="16" customFormat="false" ht="15" hidden="false" customHeight="false" outlineLevel="0" collapsed="false">
      <c r="A16" s="6" t="s">
        <v>506</v>
      </c>
      <c r="D16" s="47" t="n">
        <f aca="false">D11+D12+D13+D15</f>
        <v>1052.48</v>
      </c>
      <c r="E16" s="47" t="n">
        <f aca="false">E11+E12+E13+E15</f>
        <v>2346.46</v>
      </c>
      <c r="F16" s="48" t="n">
        <f aca="false">F11+F12+F13+F15</f>
        <v>782.496641121642</v>
      </c>
      <c r="G16" s="48" t="n">
        <f aca="false">G11+G12+G13+G15</f>
        <v>1088.64669452793</v>
      </c>
      <c r="H16" s="48" t="n">
        <f aca="false">H11+H12+H13+H15</f>
        <v>1504.26931014017</v>
      </c>
      <c r="I16" s="48" t="n">
        <f aca="false">I11+I12+I13+I15</f>
        <v>1821.97659120945</v>
      </c>
      <c r="J16" s="48" t="n">
        <f aca="false">J11+J12+J13+J15</f>
        <v>2031.43618999738</v>
      </c>
      <c r="K16" s="48" t="n">
        <f aca="false">K11+K12+K13+K15</f>
        <v>2154.36866875696</v>
      </c>
      <c r="L16" s="47" t="n">
        <f aca="false">L11+L12+L13+L15</f>
        <v>-519.043358878357</v>
      </c>
    </row>
    <row r="17" customFormat="false" ht="15" hidden="false" customHeight="false" outlineLevel="0" collapsed="false">
      <c r="A17" s="43" t="s">
        <v>507</v>
      </c>
      <c r="D17" s="50" t="n">
        <f aca="false">D16/D6</f>
        <v>0.0271621761123155</v>
      </c>
      <c r="E17" s="50" t="n">
        <f aca="false">E16/E6</f>
        <v>0.0560723588309795</v>
      </c>
      <c r="F17" s="51" t="n">
        <f aca="false">F16/F6</f>
        <v>0.0186831050312956</v>
      </c>
      <c r="G17" s="51" t="n">
        <f aca="false">G16/G6</f>
        <v>0.0248042393436147</v>
      </c>
      <c r="H17" s="51" t="n">
        <f aca="false">H16/H6</f>
        <v>0.0320330342089065</v>
      </c>
      <c r="I17" s="51" t="n">
        <f aca="false">I16/I6</f>
        <v>0.0363127400675634</v>
      </c>
      <c r="J17" s="51" t="n">
        <f aca="false">J16/J6</f>
        <v>0.0380631945308481</v>
      </c>
      <c r="K17" s="51" t="n">
        <f aca="false">K16/K6</f>
        <v>0.0382145284028251</v>
      </c>
      <c r="L17" s="50" t="n">
        <f aca="false">L16/L6</f>
        <v>-0.0238656206004418</v>
      </c>
    </row>
    <row r="18" customFormat="false" ht="15" hidden="false" customHeight="false" outlineLevel="0" collapsed="false">
      <c r="A18" s="4" t="s">
        <v>508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9" t="s">
        <v>509</v>
      </c>
      <c r="C19" s="27" t="n">
        <f aca="false">'Income Statement'!C32</f>
        <v>49</v>
      </c>
      <c r="D19" s="27" t="n">
        <f aca="false">'Income Statement'!D32</f>
        <v>71</v>
      </c>
      <c r="E19" s="27" t="n">
        <f aca="false">'Income Statement'!E32</f>
        <v>85</v>
      </c>
      <c r="F19" s="59" t="n">
        <f aca="false">'Income Statement'!F32</f>
        <v>90</v>
      </c>
      <c r="G19" s="59" t="n">
        <f aca="false">'Income Statement'!G32</f>
        <v>100</v>
      </c>
      <c r="H19" s="59" t="n">
        <f aca="false">'Income Statement'!H32</f>
        <v>105</v>
      </c>
      <c r="I19" s="59" t="n">
        <f aca="false">'Income Statement'!I32</f>
        <v>110</v>
      </c>
      <c r="J19" s="59" t="n">
        <f aca="false">'Income Statement'!J32</f>
        <v>115</v>
      </c>
      <c r="K19" s="59" t="n">
        <f aca="false">'Income Statement'!K32</f>
        <v>120</v>
      </c>
    </row>
    <row r="20" customFormat="false" ht="15" hidden="false" customHeight="false" outlineLevel="0" collapsed="false">
      <c r="A20" s="9" t="s">
        <v>354</v>
      </c>
      <c r="C20" s="27" t="n">
        <f aca="false">'Income Statement'!C39</f>
        <v>1553</v>
      </c>
      <c r="D20" s="27" t="n">
        <f aca="false">'Income Statement'!D39</f>
        <v>1290</v>
      </c>
      <c r="E20" s="27" t="n">
        <f aca="false">'Income Statement'!E39</f>
        <v>2105</v>
      </c>
      <c r="F20" s="59" t="n">
        <f aca="false">'Income Statement'!F39</f>
        <v>1499.43628</v>
      </c>
      <c r="G20" s="59" t="n">
        <f aca="false">'Income Statement'!G39</f>
        <v>1792.22943123601</v>
      </c>
      <c r="H20" s="59" t="n">
        <f aca="false">'Income Statement'!H39</f>
        <v>2272.8610139136</v>
      </c>
      <c r="I20" s="59" t="n">
        <f aca="false">'Income Statement'!I39</f>
        <v>2707.16962685273</v>
      </c>
      <c r="J20" s="59" t="n">
        <f aca="false">'Income Statement'!J39</f>
        <v>3015.41019216956</v>
      </c>
      <c r="K20" s="59" t="n">
        <f aca="false">'Income Statement'!K39</f>
        <v>3242.72707282028</v>
      </c>
    </row>
    <row r="21" customFormat="false" ht="15" hidden="false" customHeight="false" outlineLevel="0" collapsed="false">
      <c r="A21" s="9" t="s">
        <v>510</v>
      </c>
      <c r="C21" s="27" t="n">
        <f aca="false">'Income Statement'!C33</f>
        <v>1425</v>
      </c>
      <c r="D21" s="27" t="n">
        <f aca="false">'Income Statement'!D33</f>
        <v>1037</v>
      </c>
      <c r="E21" s="27" t="n">
        <f aca="false">'Income Statement'!E33</f>
        <v>1792</v>
      </c>
      <c r="F21" s="59" t="n">
        <f aca="false">'Income Statement'!F33</f>
        <v>1124.539642</v>
      </c>
      <c r="G21" s="59" t="n">
        <f aca="false">'Income Statement'!G33</f>
        <v>1405.05551947601</v>
      </c>
      <c r="H21" s="59" t="n">
        <f aca="false">'Income Statement'!H33</f>
        <v>1856.6056987392</v>
      </c>
      <c r="I21" s="59" t="n">
        <f aca="false">'Income Statement'!I33</f>
        <v>2260.23175532895</v>
      </c>
      <c r="J21" s="59" t="n">
        <f aca="false">'Income Statement'!J33</f>
        <v>2538.00217211501</v>
      </c>
      <c r="K21" s="59" t="n">
        <f aca="false">'Income Statement'!K33</f>
        <v>2736.95741864252</v>
      </c>
    </row>
    <row r="22" customFormat="false" ht="15" hidden="false" customHeight="false" outlineLevel="0" collapsed="false">
      <c r="A22" s="43" t="s">
        <v>511</v>
      </c>
      <c r="D22" s="50" t="n">
        <f aca="false">-(D13+D12+D15)/D11</f>
        <v>-0.396825396825397</v>
      </c>
      <c r="E22" s="50" t="n">
        <f aca="false">-(E13+E12+E15)/E11</f>
        <v>-0.762321061090833</v>
      </c>
      <c r="F22" s="51" t="n">
        <f aca="false">-(F13+F12+F15)/F11</f>
        <v>0.0302925270109407</v>
      </c>
      <c r="G22" s="51" t="n">
        <f aca="false">-(G13+G12+G15)/G11</f>
        <v>-0.0694570994043317</v>
      </c>
      <c r="H22" s="51" t="n">
        <f aca="false">-(H13+H12+H15)/H11</f>
        <v>-0.101018567708341</v>
      </c>
      <c r="I22" s="51" t="n">
        <f aca="false">-(I13+I12+I15)/I11</f>
        <v>-0.0863328656729594</v>
      </c>
      <c r="J22" s="51" t="n">
        <f aca="false">-(J13+J12+J15)/J11</f>
        <v>-0.0748671221859298</v>
      </c>
      <c r="K22" s="51" t="n">
        <f aca="false">-(K13+K12+K15)/K11</f>
        <v>-0.0554283742315148</v>
      </c>
      <c r="L22" s="50" t="n">
        <f aca="false">-(L13+L12+L15)/L11</f>
        <v>2.22879315211832</v>
      </c>
    </row>
    <row r="23" customFormat="false" ht="15" hidden="false" customHeight="false" outlineLevel="0" collapsed="false">
      <c r="A23" s="4" t="s">
        <v>512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5" hidden="false" customHeight="false" outlineLevel="0" collapsed="false">
      <c r="A24" s="9" t="s">
        <v>338</v>
      </c>
      <c r="C24" s="26" t="n">
        <f aca="false">K6</f>
        <v>56375.6445205194</v>
      </c>
    </row>
    <row r="25" customFormat="false" ht="15" hidden="false" customHeight="false" outlineLevel="0" collapsed="false">
      <c r="A25" s="9" t="s">
        <v>513</v>
      </c>
      <c r="C25" s="26" t="n">
        <f aca="false">K20</f>
        <v>3242.72707282028</v>
      </c>
    </row>
    <row r="26" customFormat="false" ht="15" hidden="false" customHeight="false" outlineLevel="0" collapsed="false">
      <c r="A26" s="9" t="s">
        <v>514</v>
      </c>
      <c r="C26" s="26" t="n">
        <f aca="false">K7</f>
        <v>2616.95741864252</v>
      </c>
    </row>
    <row r="27" customFormat="false" ht="15" hidden="false" customHeight="false" outlineLevel="0" collapsed="false">
      <c r="A27" s="9" t="s">
        <v>499</v>
      </c>
      <c r="C27" s="26" t="n">
        <f aca="false">K11</f>
        <v>2041.22678654116</v>
      </c>
    </row>
    <row r="28" customFormat="false" ht="15" hidden="false" customHeight="false" outlineLevel="0" collapsed="false">
      <c r="A28" s="9" t="s">
        <v>515</v>
      </c>
      <c r="C28" s="26" t="n">
        <f aca="false">K16</f>
        <v>2154.36866875696</v>
      </c>
    </row>
    <row r="29" customFormat="false" ht="15" hidden="false" customHeight="false" outlineLevel="0" collapsed="false">
      <c r="A29" s="9" t="s">
        <v>516</v>
      </c>
      <c r="C29" s="26" t="n">
        <f aca="false">K14</f>
        <v>-5503.25449873098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9" min="2" style="0" width="12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1" t="s">
        <v>517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518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4" t="s">
        <v>126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5" hidden="false" customHeight="false" outlineLevel="0" collapsed="false">
      <c r="A5" s="9" t="s">
        <v>127</v>
      </c>
      <c r="C5" s="41" t="n">
        <f aca="false">Inputs!$C$44</f>
        <v>0.04</v>
      </c>
    </row>
    <row r="6" customFormat="false" ht="15" hidden="false" customHeight="false" outlineLevel="0" collapsed="false">
      <c r="A6" s="9" t="s">
        <v>129</v>
      </c>
      <c r="C6" s="42" t="n">
        <f aca="false">Inputs!$C$45</f>
        <v>1.2</v>
      </c>
    </row>
    <row r="7" customFormat="false" ht="15" hidden="false" customHeight="false" outlineLevel="0" collapsed="false">
      <c r="A7" s="9" t="s">
        <v>519</v>
      </c>
      <c r="C7" s="41" t="n">
        <f aca="false">Inputs!$C$46</f>
        <v>0.06</v>
      </c>
    </row>
    <row r="8" customFormat="false" ht="15" hidden="false" customHeight="false" outlineLevel="0" collapsed="false">
      <c r="A8" s="9" t="s">
        <v>520</v>
      </c>
      <c r="C8" s="30" t="n">
        <f aca="false">C5+C6*C7</f>
        <v>0.112</v>
      </c>
    </row>
    <row r="9" customFormat="false" ht="15" hidden="false" customHeight="false" outlineLevel="0" collapsed="false">
      <c r="A9" s="9" t="s">
        <v>521</v>
      </c>
      <c r="C9" s="41" t="n">
        <f aca="false">Inputs!$C$48</f>
        <v>0</v>
      </c>
    </row>
    <row r="10" customFormat="false" ht="15" hidden="false" customHeight="false" outlineLevel="0" collapsed="false">
      <c r="A10" s="6" t="s">
        <v>139</v>
      </c>
      <c r="C10" s="89" t="n">
        <f aca="false">Inputs!$C$50</f>
        <v>0.112</v>
      </c>
    </row>
    <row r="11" customFormat="false" ht="15" hidden="false" customHeight="false" outlineLevel="0" collapsed="false">
      <c r="A11" s="6" t="s">
        <v>522</v>
      </c>
      <c r="C11" s="89" t="n">
        <f aca="false">Inputs!$C$51</f>
        <v>0.025</v>
      </c>
    </row>
    <row r="12" customFormat="false" ht="15" hidden="false" customHeight="false" outlineLevel="0" collapsed="false">
      <c r="A12" s="9" t="s">
        <v>76</v>
      </c>
      <c r="C12" s="90" t="n">
        <f aca="false">Inputs!$C$12</f>
        <v>46295</v>
      </c>
    </row>
    <row r="14" customFormat="false" ht="15" hidden="false" customHeight="false" outlineLevel="0" collapsed="false">
      <c r="A14" s="4" t="s">
        <v>523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false" outlineLevel="0" collapsed="false">
      <c r="D15" s="37" t="s">
        <v>216</v>
      </c>
      <c r="E15" s="37" t="s">
        <v>158</v>
      </c>
      <c r="F15" s="37" t="s">
        <v>159</v>
      </c>
      <c r="G15" s="37" t="s">
        <v>160</v>
      </c>
      <c r="H15" s="37" t="s">
        <v>161</v>
      </c>
      <c r="I15" s="37" t="s">
        <v>162</v>
      </c>
    </row>
    <row r="16" customFormat="false" ht="15" hidden="false" customHeight="false" outlineLevel="0" collapsed="false">
      <c r="A16" s="6" t="s">
        <v>524</v>
      </c>
      <c r="D16" s="71" t="n">
        <f aca="false">'DCF Inputs'!L16</f>
        <v>-519.043358878357</v>
      </c>
      <c r="E16" s="71" t="n">
        <f aca="false">'DCF Inputs'!G16</f>
        <v>1088.64669452793</v>
      </c>
      <c r="F16" s="71" t="n">
        <f aca="false">'DCF Inputs'!H16</f>
        <v>1504.26931014017</v>
      </c>
      <c r="G16" s="71" t="n">
        <f aca="false">'DCF Inputs'!I16</f>
        <v>1821.97659120945</v>
      </c>
      <c r="H16" s="71" t="n">
        <f aca="false">'DCF Inputs'!J16</f>
        <v>2031.43618999738</v>
      </c>
      <c r="I16" s="71" t="n">
        <f aca="false">'DCF Inputs'!K16</f>
        <v>2154.36866875696</v>
      </c>
    </row>
    <row r="17" customFormat="false" ht="15" hidden="false" customHeight="false" outlineLevel="0" collapsed="false">
      <c r="A17" s="9" t="s">
        <v>525</v>
      </c>
      <c r="D17" s="91" t="n">
        <v>46296</v>
      </c>
      <c r="E17" s="91" t="n">
        <v>46569</v>
      </c>
      <c r="F17" s="91" t="n">
        <v>46935</v>
      </c>
      <c r="G17" s="91" t="n">
        <v>47300</v>
      </c>
      <c r="H17" s="91" t="n">
        <v>47665</v>
      </c>
      <c r="I17" s="91" t="n">
        <v>48030</v>
      </c>
    </row>
    <row r="18" customFormat="false" ht="15" hidden="false" customHeight="false" outlineLevel="0" collapsed="false">
      <c r="A18" s="9" t="s">
        <v>526</v>
      </c>
      <c r="D18" s="39" t="n">
        <f aca="false">MAX(0,(D17-$C$12)/365.25)</f>
        <v>0.0027378507871321</v>
      </c>
      <c r="E18" s="39" t="n">
        <f aca="false">MAX(0,(E17-$C$12)/365.25)</f>
        <v>0.750171115674196</v>
      </c>
      <c r="F18" s="39" t="n">
        <f aca="false">MAX(0,(F17-$C$12)/365.25)</f>
        <v>1.75222450376454</v>
      </c>
      <c r="G18" s="39" t="n">
        <f aca="false">MAX(0,(G17-$C$12)/365.25)</f>
        <v>2.75154004106776</v>
      </c>
      <c r="H18" s="39" t="n">
        <f aca="false">MAX(0,(H17-$C$12)/365.25)</f>
        <v>3.75085557837098</v>
      </c>
      <c r="I18" s="39" t="n">
        <f aca="false">MAX(0,(I17-$C$12)/365.25)</f>
        <v>4.7501711156742</v>
      </c>
    </row>
    <row r="19" customFormat="false" ht="15" hidden="false" customHeight="false" outlineLevel="0" collapsed="false">
      <c r="A19" s="9" t="s">
        <v>527</v>
      </c>
      <c r="D19" s="77" t="n">
        <f aca="false">1/(1+$C$10)^D18</f>
        <v>0.999709391459134</v>
      </c>
      <c r="E19" s="77" t="n">
        <f aca="false">1/(1+$C$10)^E18</f>
        <v>0.923450286376149</v>
      </c>
      <c r="F19" s="77" t="n">
        <f aca="false">1/(1+$C$10)^F18</f>
        <v>0.83025989852395</v>
      </c>
      <c r="G19" s="77" t="n">
        <f aca="false">1/(1+$C$10)^G18</f>
        <v>0.746690853989857</v>
      </c>
      <c r="H19" s="77" t="n">
        <f aca="false">1/(1+$C$10)^H18</f>
        <v>0.671533374577429</v>
      </c>
      <c r="I19" s="77" t="n">
        <f aca="false">1/(1+$C$10)^I18</f>
        <v>0.603940801955337</v>
      </c>
    </row>
    <row r="20" customFormat="false" ht="15" hidden="false" customHeight="false" outlineLevel="0" collapsed="false">
      <c r="A20" s="6" t="s">
        <v>528</v>
      </c>
      <c r="D20" s="47" t="n">
        <f aca="false">D16*D19</f>
        <v>-518.892520445188</v>
      </c>
      <c r="E20" s="47" t="n">
        <f aca="false">E16*E19</f>
        <v>1005.31110182427</v>
      </c>
      <c r="F20" s="47" t="n">
        <f aca="false">F16*F19</f>
        <v>1248.93448478967</v>
      </c>
      <c r="G20" s="47" t="n">
        <f aca="false">G16*G19</f>
        <v>1360.45325683971</v>
      </c>
      <c r="H20" s="47" t="n">
        <f aca="false">H16*H19</f>
        <v>1364.17719990766</v>
      </c>
      <c r="I20" s="47" t="n">
        <f aca="false">I16*I19</f>
        <v>1301.11114151653</v>
      </c>
    </row>
    <row r="22" customFormat="false" ht="15" hidden="false" customHeight="false" outlineLevel="0" collapsed="false">
      <c r="A22" s="4" t="s">
        <v>529</v>
      </c>
      <c r="B22" s="5"/>
      <c r="C22" s="5"/>
      <c r="D22" s="5"/>
      <c r="E22" s="5"/>
      <c r="F22" s="5"/>
      <c r="G22" s="5"/>
      <c r="H22" s="5"/>
      <c r="I22" s="5"/>
      <c r="J22" s="5"/>
    </row>
    <row r="23" customFormat="false" ht="15" hidden="false" customHeight="false" outlineLevel="0" collapsed="false">
      <c r="A23" s="9" t="s">
        <v>530</v>
      </c>
      <c r="C23" s="26" t="n">
        <f aca="false">'DCF Inputs'!K11+'DCF Inputs'!K12+'DCF Inputs'!K13</f>
        <v>1860.8247240755</v>
      </c>
    </row>
    <row r="24" customFormat="false" ht="15" hidden="false" customHeight="false" outlineLevel="0" collapsed="false">
      <c r="A24" s="9" t="s">
        <v>531</v>
      </c>
      <c r="C24" s="27" t="n">
        <f aca="false">'DCF Inputs'!K14</f>
        <v>-5503.25449873098</v>
      </c>
    </row>
    <row r="25" customFormat="false" ht="15" hidden="false" customHeight="false" outlineLevel="0" collapsed="false">
      <c r="A25" s="9" t="s">
        <v>532</v>
      </c>
      <c r="C25" s="26" t="n">
        <f aca="false">C23*(1+C11)-C24*C11</f>
        <v>2044.92670464566</v>
      </c>
      <c r="J25" s="19" t="s">
        <v>533</v>
      </c>
    </row>
    <row r="26" customFormat="false" ht="15" hidden="false" customHeight="false" outlineLevel="0" collapsed="false">
      <c r="A26" s="6" t="s">
        <v>534</v>
      </c>
      <c r="C26" s="57" t="n">
        <f aca="false">C25/(C10-C11)</f>
        <v>23504.9046510996</v>
      </c>
    </row>
    <row r="27" customFormat="false" ht="15" hidden="false" customHeight="false" outlineLevel="0" collapsed="false">
      <c r="A27" s="9" t="s">
        <v>535</v>
      </c>
      <c r="C27" s="39" t="n">
        <f aca="false">(DATE(2031,12,31)-C12)/365.25</f>
        <v>5.25119780971937</v>
      </c>
    </row>
    <row r="28" customFormat="false" ht="15" hidden="false" customHeight="false" outlineLevel="0" collapsed="false">
      <c r="A28" s="6" t="s">
        <v>536</v>
      </c>
      <c r="C28" s="57" t="n">
        <f aca="false">C26/(1+C10)^C27</f>
        <v>13460.2503031539</v>
      </c>
    </row>
    <row r="29" customFormat="false" ht="15" hidden="false" customHeight="false" outlineLevel="0" collapsed="false">
      <c r="A29" s="9" t="s">
        <v>537</v>
      </c>
      <c r="C29" s="83" t="n">
        <f aca="false">C26/'DCF Inputs'!K20</f>
        <v>7.24849921786873</v>
      </c>
    </row>
    <row r="30" customFormat="false" ht="15" hidden="false" customHeight="false" outlineLevel="0" collapsed="false">
      <c r="A30" s="9" t="s">
        <v>538</v>
      </c>
      <c r="C30" s="83" t="n">
        <f aca="false">C26/'DCF Inputs'!K7</f>
        <v>8.98176809590283</v>
      </c>
    </row>
    <row r="32" customFormat="false" ht="15" hidden="false" customHeight="false" outlineLevel="0" collapsed="false">
      <c r="A32" s="4" t="s">
        <v>539</v>
      </c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A33" s="9" t="s">
        <v>540</v>
      </c>
      <c r="C33" s="26" t="n">
        <f aca="false">SUM(D20:I20)</f>
        <v>5761.09466443265</v>
      </c>
    </row>
    <row r="34" customFormat="false" ht="15" hidden="false" customHeight="false" outlineLevel="0" collapsed="false">
      <c r="A34" s="9" t="s">
        <v>541</v>
      </c>
      <c r="C34" s="26" t="n">
        <f aca="false">C28</f>
        <v>13460.2503031539</v>
      </c>
    </row>
    <row r="35" customFormat="false" ht="15" hidden="false" customHeight="false" outlineLevel="0" collapsed="false">
      <c r="A35" s="6" t="s">
        <v>542</v>
      </c>
      <c r="C35" s="47" t="n">
        <f aca="false">C33+C34</f>
        <v>19221.3449675865</v>
      </c>
    </row>
    <row r="36" customFormat="false" ht="15" hidden="false" customHeight="false" outlineLevel="0" collapsed="false">
      <c r="A36" s="43" t="s">
        <v>543</v>
      </c>
      <c r="C36" s="50" t="n">
        <f aca="false">C34/C35</f>
        <v>0.700276194296094</v>
      </c>
    </row>
    <row r="37" customFormat="false" ht="15" hidden="false" customHeight="false" outlineLevel="0" collapsed="false">
      <c r="A37" s="9" t="s">
        <v>544</v>
      </c>
      <c r="C37" s="27" t="n">
        <f aca="false">Inputs!$C$22</f>
        <v>15248</v>
      </c>
    </row>
    <row r="38" customFormat="false" ht="15" hidden="false" customHeight="false" outlineLevel="0" collapsed="false">
      <c r="A38" s="9" t="s">
        <v>545</v>
      </c>
      <c r="C38" s="26" t="n">
        <f aca="false">-Inputs!$C$23</f>
        <v>-660</v>
      </c>
    </row>
    <row r="39" customFormat="false" ht="15" hidden="false" customHeight="false" outlineLevel="0" collapsed="false">
      <c r="A39" s="9" t="s">
        <v>546</v>
      </c>
      <c r="C39" s="27" t="n">
        <f aca="false">Inputs!$C$25</f>
        <v>1684.39770554493</v>
      </c>
    </row>
    <row r="40" customFormat="false" ht="15" hidden="false" customHeight="false" outlineLevel="0" collapsed="false">
      <c r="A40" s="9" t="s">
        <v>547</v>
      </c>
      <c r="C40" s="26" t="n">
        <f aca="false">-Inputs!$C$26</f>
        <v>-2200</v>
      </c>
    </row>
    <row r="41" customFormat="false" ht="15" hidden="false" customHeight="false" outlineLevel="0" collapsed="false">
      <c r="A41" s="9" t="s">
        <v>548</v>
      </c>
      <c r="C41" s="26" t="n">
        <f aca="false">-(Inputs!$C$28+Inputs!$C$29)</f>
        <v>-587</v>
      </c>
    </row>
    <row r="42" customFormat="false" ht="15" hidden="false" customHeight="false" outlineLevel="0" collapsed="false">
      <c r="A42" s="9" t="s">
        <v>549</v>
      </c>
      <c r="C42" s="26" t="n">
        <f aca="false">-Inputs!$C$31</f>
        <v>-1500</v>
      </c>
    </row>
    <row r="43" customFormat="false" ht="15" hidden="false" customHeight="false" outlineLevel="0" collapsed="false">
      <c r="A43" s="9" t="s">
        <v>550</v>
      </c>
      <c r="C43" s="26" t="n">
        <f aca="false">-Inputs!$C$32</f>
        <v>-1000</v>
      </c>
    </row>
    <row r="44" customFormat="false" ht="15" hidden="false" customHeight="false" outlineLevel="0" collapsed="false">
      <c r="A44" s="9" t="s">
        <v>551</v>
      </c>
      <c r="C44" s="27" t="n">
        <f aca="false">Inputs!$C$33</f>
        <v>411</v>
      </c>
    </row>
    <row r="45" customFormat="false" ht="15" hidden="false" customHeight="false" outlineLevel="0" collapsed="false">
      <c r="A45" s="6" t="s">
        <v>552</v>
      </c>
      <c r="C45" s="47" t="n">
        <f aca="false">SUM(C37:C44)</f>
        <v>11396.3977055449</v>
      </c>
    </row>
    <row r="46" customFormat="false" ht="15" hidden="false" customHeight="false" outlineLevel="0" collapsed="false">
      <c r="A46" s="6" t="s">
        <v>553</v>
      </c>
      <c r="C46" s="47" t="n">
        <f aca="false">C35+C45</f>
        <v>30617.7426731315</v>
      </c>
    </row>
    <row r="47" customFormat="false" ht="15" hidden="false" customHeight="false" outlineLevel="0" collapsed="false">
      <c r="A47" s="9" t="s">
        <v>554</v>
      </c>
      <c r="C47" s="75" t="n">
        <f aca="false">Inputs!$C$17</f>
        <v>4419.234909</v>
      </c>
    </row>
    <row r="48" customFormat="false" ht="15" hidden="false" customHeight="false" outlineLevel="0" collapsed="false">
      <c r="A48" s="9" t="s">
        <v>555</v>
      </c>
      <c r="C48" s="39" t="n">
        <f aca="false">C46/C47</f>
        <v>6.92829037233953</v>
      </c>
    </row>
    <row r="49" customFormat="false" ht="15" hidden="false" customHeight="false" outlineLevel="0" collapsed="false">
      <c r="A49" s="6" t="s">
        <v>200</v>
      </c>
      <c r="C49" s="92" t="n">
        <f aca="false">C48*Inputs!$C$6</f>
        <v>54.3524379710036</v>
      </c>
    </row>
    <row r="50" customFormat="false" ht="15" hidden="false" customHeight="false" outlineLevel="0" collapsed="false">
      <c r="A50" s="9" t="s">
        <v>556</v>
      </c>
      <c r="C50" s="30" t="n">
        <f aca="false">C49/Inputs!$C$5-1</f>
        <v>0.762400712419053</v>
      </c>
    </row>
    <row r="51" customFormat="false" ht="15" hidden="false" customHeight="false" outlineLevel="0" collapsed="false">
      <c r="A51" s="43" t="s">
        <v>557</v>
      </c>
      <c r="C51" s="53" t="n">
        <f aca="false">C45/C47*Inputs!$C$6</f>
        <v>20.230818646441</v>
      </c>
    </row>
    <row r="52" customFormat="false" ht="15" hidden="false" customHeight="false" outlineLevel="0" collapsed="false">
      <c r="A52" s="9" t="s">
        <v>558</v>
      </c>
      <c r="C52" s="83" t="n">
        <f aca="false">C49/'Income Statement'!G66</f>
        <v>21.1142276411203</v>
      </c>
    </row>
    <row r="53" customFormat="false" ht="15" hidden="false" customHeight="false" outlineLevel="0" collapsed="false">
      <c r="A53" s="9" t="s">
        <v>559</v>
      </c>
      <c r="C53" s="83" t="n">
        <f aca="false">C35/'Income Statement'!G33</f>
        <v>13.680131995606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2"/>
  </cols>
  <sheetData>
    <row r="1" customFormat="false" ht="15" hidden="false" customHeight="false" outlineLevel="0" collapsed="false">
      <c r="A1" s="1" t="s">
        <v>560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561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4" t="s">
        <v>562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B5" s="36" t="s">
        <v>563</v>
      </c>
      <c r="C5" s="38" t="n">
        <f aca="false">DCF!$C$11+(-0.01)</f>
        <v>0.015</v>
      </c>
      <c r="D5" s="38" t="n">
        <f aca="false">DCF!$C$11+(-0.005)</f>
        <v>0.02</v>
      </c>
      <c r="E5" s="38" t="n">
        <f aca="false">DCF!$C$11+(0)</f>
        <v>0.025</v>
      </c>
      <c r="F5" s="38" t="n">
        <f aca="false">DCF!$C$11+(0.005)</f>
        <v>0.03</v>
      </c>
      <c r="G5" s="38" t="n">
        <f aca="false">DCF!$C$11+(0.01)</f>
        <v>0.035</v>
      </c>
    </row>
    <row r="6" customFormat="false" ht="15" hidden="false" customHeight="false" outlineLevel="0" collapsed="false">
      <c r="B6" s="38" t="n">
        <f aca="false">DCF!$C$10+(-0.015)</f>
        <v>0.097</v>
      </c>
      <c r="C6" s="39" t="n">
        <f aca="false">(SUMPRODUCT(DCF!$D$16:$I$16/(1+$B6)^DCF!$D$18:$I$18)+((DCF!$C$23*(1+C$5)-DCF!$C$24*C$5)/($B6-C$5))/(1+$B6)^DCF!$C$27+DCF!$C$45)/Inputs!$C$17*Inputs!$C$6</f>
        <v>57.1470700389116</v>
      </c>
      <c r="D6" s="39" t="n">
        <f aca="false">(SUMPRODUCT(DCF!$D$16:$I$16/(1+$B6)^DCF!$D$18:$I$18)+((DCF!$C$23*(1+D$5)-DCF!$C$24*D$5)/($B6-D$5))/(1+$B6)^DCF!$C$27+DCF!$C$45)/Inputs!$C$17*Inputs!$C$6</f>
        <v>59.3733472783809</v>
      </c>
      <c r="E6" s="39" t="n">
        <f aca="false">(SUMPRODUCT(DCF!$D$16:$I$16/(1+$B6)^DCF!$D$18:$I$18)+((DCF!$C$23*(1+E$5)-DCF!$C$24*E$5)/($B6-E$5))/(1+$B6)^DCF!$C$27+DCF!$C$45)/Inputs!$C$17*Inputs!$C$6</f>
        <v>61.9088296899986</v>
      </c>
      <c r="F6" s="39" t="n">
        <f aca="false">(SUMPRODUCT(DCF!$D$16:$I$16/(1+$B6)^DCF!$D$18:$I$18)+((DCF!$C$23*(1+F$5)-DCF!$C$24*F$5)/($B6-F$5))/(1+$B6)^DCF!$C$27+DCF!$C$45)/Inputs!$C$17*Inputs!$C$6</f>
        <v>64.8227423123056</v>
      </c>
      <c r="G6" s="39" t="n">
        <f aca="false">(SUMPRODUCT(DCF!$D$16:$I$16/(1+$B6)^DCF!$D$18:$I$18)+((DCF!$C$23*(1+G$5)-DCF!$C$24*G$5)/($B6-G$5))/(1+$B6)^DCF!$C$27+DCF!$C$45)/Inputs!$C$17*Inputs!$C$6</f>
        <v>68.2066408414363</v>
      </c>
    </row>
    <row r="7" customFormat="false" ht="15" hidden="false" customHeight="false" outlineLevel="0" collapsed="false">
      <c r="B7" s="38" t="n">
        <f aca="false">DCF!$C$10+(-0.01)</f>
        <v>0.102</v>
      </c>
      <c r="C7" s="39" t="n">
        <f aca="false">(SUMPRODUCT(DCF!$D$16:$I$16/(1+$B7)^DCF!$D$18:$I$18)+((DCF!$C$23*(1+C$5)-DCF!$C$24*C$5)/($B7-C$5))/(1+$B7)^DCF!$C$27+DCF!$C$45)/Inputs!$C$17*Inputs!$C$6</f>
        <v>54.9039453014375</v>
      </c>
      <c r="D7" s="39" t="n">
        <f aca="false">(SUMPRODUCT(DCF!$D$16:$I$16/(1+$B7)^DCF!$D$18:$I$18)+((DCF!$C$23*(1+D$5)-DCF!$C$24*D$5)/($B7-D$5))/(1+$B7)^DCF!$C$27+DCF!$C$45)/Inputs!$C$17*Inputs!$C$6</f>
        <v>56.8553417874065</v>
      </c>
      <c r="E7" s="39" t="n">
        <f aca="false">(SUMPRODUCT(DCF!$D$16:$I$16/(1+$B7)^DCF!$D$18:$I$18)+((DCF!$C$23*(1+E$5)-DCF!$C$24*E$5)/($B7-E$5))/(1+$B7)^DCF!$C$27+DCF!$C$45)/Inputs!$C$17*Inputs!$C$6</f>
        <v>59.0601663884364</v>
      </c>
      <c r="F7" s="39" t="n">
        <f aca="false">(SUMPRODUCT(DCF!$D$16:$I$16/(1+$B7)^DCF!$D$18:$I$18)+((DCF!$C$23*(1+F$5)-DCF!$C$24*F$5)/($B7-F$5))/(1+$B7)^DCF!$C$27+DCF!$C$45)/Inputs!$C$17*Inputs!$C$6</f>
        <v>61.5712166284982</v>
      </c>
      <c r="G7" s="39" t="n">
        <f aca="false">(SUMPRODUCT(DCF!$D$16:$I$16/(1+$B7)^DCF!$D$18:$I$18)+((DCF!$C$23*(1+G$5)-DCF!$C$24*G$5)/($B7-G$5))/(1+$B7)^DCF!$C$27+DCF!$C$45)/Inputs!$C$17*Inputs!$C$6</f>
        <v>64.4570504864796</v>
      </c>
    </row>
    <row r="8" customFormat="false" ht="15" hidden="false" customHeight="false" outlineLevel="0" collapsed="false">
      <c r="B8" s="38" t="n">
        <f aca="false">DCF!$C$10+(-0.005)</f>
        <v>0.107</v>
      </c>
      <c r="C8" s="39" t="n">
        <f aca="false">(SUMPRODUCT(DCF!$D$16:$I$16/(1+$B8)^DCF!$D$18:$I$18)+((DCF!$C$23*(1+C$5)-DCF!$C$24*C$5)/($B8-C$5))/(1+$B8)^DCF!$C$27+DCF!$C$45)/Inputs!$C$17*Inputs!$C$6</f>
        <v>52.9067276656976</v>
      </c>
      <c r="D8" s="39" t="n">
        <f aca="false">(SUMPRODUCT(DCF!$D$16:$I$16/(1+$B8)^DCF!$D$18:$I$18)+((DCF!$C$23*(1+D$5)-DCF!$C$24*D$5)/($B8-D$5))/(1+$B8)^DCF!$C$27+DCF!$C$45)/Inputs!$C$17*Inputs!$C$6</f>
        <v>54.6290997586579</v>
      </c>
      <c r="E8" s="39" t="n">
        <f aca="false">(SUMPRODUCT(DCF!$D$16:$I$16/(1+$B8)^DCF!$D$18:$I$18)+((DCF!$C$23*(1+E$5)-DCF!$C$24*E$5)/($B8-E$5))/(1+$B8)^DCF!$C$27+DCF!$C$45)/Inputs!$C$17*Inputs!$C$6</f>
        <v>56.5615172288085</v>
      </c>
      <c r="F8" s="39" t="n">
        <f aca="false">(SUMPRODUCT(DCF!$D$16:$I$16/(1+$B8)^DCF!$D$18:$I$18)+((DCF!$C$23*(1+F$5)-DCF!$C$24*F$5)/($B8-F$5))/(1+$B8)^DCF!$C$27+DCF!$C$45)/Inputs!$C$17*Inputs!$C$6</f>
        <v>58.7448980067708</v>
      </c>
      <c r="G8" s="39" t="n">
        <f aca="false">(SUMPRODUCT(DCF!$D$16:$I$16/(1+$B8)^DCF!$D$18:$I$18)+((DCF!$C$23*(1+G$5)-DCF!$C$24*G$5)/($B8-G$5))/(1+$B8)^DCF!$C$27+DCF!$C$45)/Inputs!$C$17*Inputs!$C$6</f>
        <v>61.2315261150057</v>
      </c>
    </row>
    <row r="9" customFormat="false" ht="15" hidden="false" customHeight="false" outlineLevel="0" collapsed="false">
      <c r="B9" s="38" t="n">
        <f aca="false">DCF!$C$10+(0)</f>
        <v>0.112</v>
      </c>
      <c r="C9" s="39" t="n">
        <f aca="false">(SUMPRODUCT(DCF!$D$16:$I$16/(1+$B9)^DCF!$D$18:$I$18)+((DCF!$C$23*(1+C$5)-DCF!$C$24*C$5)/($B9-C$5))/(1+$B9)^DCF!$C$27+DCF!$C$45)/Inputs!$C$17*Inputs!$C$6</f>
        <v>51.1173126997077</v>
      </c>
      <c r="D9" s="39" t="n">
        <f aca="false">(SUMPRODUCT(DCF!$D$16:$I$16/(1+$B9)^DCF!$D$18:$I$18)+((DCF!$C$23*(1+D$5)-DCF!$C$24*D$5)/($B9-D$5))/(1+$B9)^DCF!$C$27+DCF!$C$45)/Inputs!$C$17*Inputs!$C$6</f>
        <v>52.6469643225487</v>
      </c>
      <c r="E9" s="93" t="n">
        <f aca="false">(SUMPRODUCT(DCF!$D$16:$I$16/(1+$B9)^DCF!$D$18:$I$18)+((DCF!$C$23*(1+E$5)-DCF!$C$24*E$5)/($B9-E$5))/(1+$B9)^DCF!$C$27+DCF!$C$45)/Inputs!$C$17*Inputs!$C$6</f>
        <v>54.3524379710036</v>
      </c>
      <c r="F9" s="39" t="n">
        <f aca="false">(SUMPRODUCT(DCF!$D$16:$I$16/(1+$B9)^DCF!$D$18:$I$18)+((DCF!$C$23*(1+F$5)-DCF!$C$24*F$5)/($B9-F$5))/(1+$B9)^DCF!$C$27+DCF!$C$45)/Inputs!$C$17*Inputs!$C$6</f>
        <v>56.2658962107335</v>
      </c>
      <c r="G9" s="39" t="n">
        <f aca="false">(SUMPRODUCT(DCF!$D$16:$I$16/(1+$B9)^DCF!$D$18:$I$18)+((DCF!$C$23*(1+G$5)-DCF!$C$24*G$5)/($B9-G$5))/(1+$B9)^DCF!$C$27+DCF!$C$45)/Inputs!$C$17*Inputs!$C$6</f>
        <v>58.4278555205581</v>
      </c>
    </row>
    <row r="10" customFormat="false" ht="15" hidden="false" customHeight="false" outlineLevel="0" collapsed="false">
      <c r="B10" s="38" t="n">
        <f aca="false">DCF!$C$10+(0.005)</f>
        <v>0.117</v>
      </c>
      <c r="C10" s="39" t="n">
        <f aca="false">(SUMPRODUCT(DCF!$D$16:$I$16/(1+$B10)^DCF!$D$18:$I$18)+((DCF!$C$23*(1+C$5)-DCF!$C$24*C$5)/($B10-C$5))/(1+$B10)^DCF!$C$27+DCF!$C$45)/Inputs!$C$17*Inputs!$C$6</f>
        <v>49.5050706845116</v>
      </c>
      <c r="D10" s="39" t="n">
        <f aca="false">(SUMPRODUCT(DCF!$D$16:$I$16/(1+$B10)^DCF!$D$18:$I$18)+((DCF!$C$23*(1+D$5)-DCF!$C$24*D$5)/($B10-D$5))/(1+$B10)^DCF!$C$27+DCF!$C$45)/Inputs!$C$17*Inputs!$C$6</f>
        <v>50.871108386487</v>
      </c>
      <c r="E10" s="39" t="n">
        <f aca="false">(SUMPRODUCT(DCF!$D$16:$I$16/(1+$B10)^DCF!$D$18:$I$18)+((DCF!$C$23*(1+E$5)-DCF!$C$24*E$5)/($B10-E$5))/(1+$B10)^DCF!$C$27+DCF!$C$45)/Inputs!$C$17*Inputs!$C$6</f>
        <v>52.3856284473728</v>
      </c>
      <c r="F10" s="39" t="n">
        <f aca="false">(SUMPRODUCT(DCF!$D$16:$I$16/(1+$B10)^DCF!$D$18:$I$18)+((DCF!$C$23*(1+F$5)-DCF!$C$24*F$5)/($B10-F$5))/(1+$B10)^DCF!$C$27+DCF!$C$45)/Inputs!$C$17*Inputs!$C$6</f>
        <v>54.0742312738776</v>
      </c>
      <c r="G10" s="39" t="n">
        <f aca="false">(SUMPRODUCT(DCF!$D$16:$I$16/(1+$B10)^DCF!$D$18:$I$18)+((DCF!$C$23*(1+G$5)-DCF!$C$24*G$5)/($B10-G$5))/(1+$B10)^DCF!$C$27+DCF!$C$45)/Inputs!$C$17*Inputs!$C$6</f>
        <v>55.9687612743465</v>
      </c>
    </row>
    <row r="11" customFormat="false" ht="15" hidden="false" customHeight="false" outlineLevel="0" collapsed="false">
      <c r="B11" s="38" t="n">
        <f aca="false">DCF!$C$10+(0.01)</f>
        <v>0.122</v>
      </c>
      <c r="C11" s="39" t="n">
        <f aca="false">(SUMPRODUCT(DCF!$D$16:$I$16/(1+$B11)^DCF!$D$18:$I$18)+((DCF!$C$23*(1+C$5)-DCF!$C$24*C$5)/($B11-C$5))/(1+$B11)^DCF!$C$27+DCF!$C$45)/Inputs!$C$17*Inputs!$C$6</f>
        <v>48.0451000379054</v>
      </c>
      <c r="D11" s="39" t="n">
        <f aca="false">(SUMPRODUCT(DCF!$D$16:$I$16/(1+$B11)^DCF!$D$18:$I$18)+((DCF!$C$23*(1+D$5)-DCF!$C$24*D$5)/($B11-D$5))/(1+$B11)^DCF!$C$27+DCF!$C$45)/Inputs!$C$17*Inputs!$C$6</f>
        <v>49.2711252123959</v>
      </c>
      <c r="E11" s="39" t="n">
        <f aca="false">(SUMPRODUCT(DCF!$D$16:$I$16/(1+$B11)^DCF!$D$18:$I$18)+((DCF!$C$23*(1+E$5)-DCF!$C$24*E$5)/($B11-E$5))/(1+$B11)^DCF!$C$27+DCF!$C$45)/Inputs!$C$17*Inputs!$C$6</f>
        <v>50.6235447347719</v>
      </c>
      <c r="F11" s="39" t="n">
        <f aca="false">(SUMPRODUCT(DCF!$D$16:$I$16/(1+$B11)^DCF!$D$18:$I$18)+((DCF!$C$23*(1+F$5)-DCF!$C$24*F$5)/($B11-F$5))/(1+$B11)^DCF!$C$27+DCF!$C$45)/Inputs!$C$17*Inputs!$C$6</f>
        <v>52.1229663791453</v>
      </c>
      <c r="G11" s="39" t="n">
        <f aca="false">(SUMPRODUCT(DCF!$D$16:$I$16/(1+$B11)^DCF!$D$18:$I$18)+((DCF!$C$23*(1+G$5)-DCF!$C$24*G$5)/($B11-G$5))/(1+$B11)^DCF!$C$27+DCF!$C$45)/Inputs!$C$17*Inputs!$C$6</f>
        <v>53.794735338964</v>
      </c>
    </row>
    <row r="12" customFormat="false" ht="15" hidden="false" customHeight="false" outlineLevel="0" collapsed="false">
      <c r="B12" s="38" t="n">
        <f aca="false">DCF!$C$10+(0.015)</f>
        <v>0.127</v>
      </c>
      <c r="C12" s="39" t="n">
        <f aca="false">(SUMPRODUCT(DCF!$D$16:$I$16/(1+$B12)^DCF!$D$18:$I$18)+((DCF!$C$23*(1+C$5)-DCF!$C$24*C$5)/($B12-C$5))/(1+$B12)^DCF!$C$27+DCF!$C$45)/Inputs!$C$17*Inputs!$C$6</f>
        <v>46.7169485783124</v>
      </c>
      <c r="D12" s="39" t="n">
        <f aca="false">(SUMPRODUCT(DCF!$D$16:$I$16/(1+$B12)^DCF!$D$18:$I$18)+((DCF!$C$23*(1+D$5)-DCF!$C$24*D$5)/($B12-D$5))/(1+$B12)^DCF!$C$27+DCF!$C$45)/Inputs!$C$17*Inputs!$C$6</f>
        <v>47.8222945411719</v>
      </c>
      <c r="E12" s="39" t="n">
        <f aca="false">(SUMPRODUCT(DCF!$D$16:$I$16/(1+$B12)^DCF!$D$18:$I$18)+((DCF!$C$23*(1+E$5)-DCF!$C$24*E$5)/($B12-E$5))/(1+$B12)^DCF!$C$27+DCF!$C$45)/Inputs!$C$17*Inputs!$C$6</f>
        <v>49.0360077552922</v>
      </c>
      <c r="F12" s="39" t="n">
        <f aca="false">(SUMPRODUCT(DCF!$D$16:$I$16/(1+$B12)^DCF!$D$18:$I$18)+((DCF!$C$23*(1+F$5)-DCF!$C$24*F$5)/($B12-F$5))/(1+$B12)^DCF!$C$27+DCF!$C$45)/Inputs!$C$17*Inputs!$C$6</f>
        <v>50.3748460430331</v>
      </c>
      <c r="G12" s="39" t="n">
        <f aca="false">(SUMPRODUCT(DCF!$D$16:$I$16/(1+$B12)^DCF!$D$18:$I$18)+((DCF!$C$23*(1+G$5)-DCF!$C$24*G$5)/($B12-G$5))/(1+$B12)^DCF!$C$27+DCF!$C$45)/Inputs!$C$17*Inputs!$C$6</f>
        <v>51.8592102316154</v>
      </c>
    </row>
    <row r="14" customFormat="false" ht="15" hidden="false" customHeight="false" outlineLevel="0" collapsed="false">
      <c r="A14" s="4" t="s">
        <v>564</v>
      </c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B15" s="36" t="s">
        <v>565</v>
      </c>
      <c r="C15" s="38" t="n">
        <f aca="false">$C$24+(-0.02)</f>
        <v>0.0264200000000001</v>
      </c>
      <c r="D15" s="38" t="n">
        <f aca="false">$C$24+(-0.01)</f>
        <v>0.0364200000000001</v>
      </c>
      <c r="E15" s="38" t="n">
        <f aca="false">$C$24+(0)</f>
        <v>0.0464200000000001</v>
      </c>
      <c r="F15" s="38" t="n">
        <f aca="false">$C$24+(0.01)</f>
        <v>0.0564200000000001</v>
      </c>
      <c r="G15" s="38" t="n">
        <f aca="false">$C$24+(0.02)</f>
        <v>0.0664200000000001</v>
      </c>
    </row>
    <row r="16" customFormat="false" ht="15" hidden="false" customHeight="false" outlineLevel="0" collapsed="false">
      <c r="B16" s="38" t="n">
        <f aca="false">$C$25+(-0.04)</f>
        <v>0.0212351316918511</v>
      </c>
      <c r="C16" s="39" t="n">
        <f aca="false">(DCF!$D$20+SUMPRODUCT(($C$22*(1+$B16)^$C$21:$G$21*(($C$23+(C$15-$C$23)*$C$21:$G$21/5)*(1-Inputs!$C$52)+$C$26)-$C$27*$C$22*(1+$B16)^($C$21:$G$21-1)*$B16)*DCF!$E$19:$I$19)+(($C$22*(1+$B16)^5*(C$15*(1-Inputs!$C$52)+$C$26)*(1+DCF!$C$11)-$C$27*$C$22*(1+$B16)^5*DCF!$C$11)/(DCF!$C$10-DCF!$C$11))/(1+DCF!$C$10)^DCF!$C$27+DCF!$C$45)/Inputs!$C$17*Inputs!$C$6</f>
        <v>35.9510717174815</v>
      </c>
      <c r="D16" s="39" t="n">
        <f aca="false">(DCF!$D$20+SUMPRODUCT(($C$22*(1+$B16)^$C$21:$G$21*(($C$23+(D$15-$C$23)*$C$21:$G$21/5)*(1-Inputs!$C$52)+$C$26)-$C$27*$C$22*(1+$B16)^($C$21:$G$21-1)*$B16)*DCF!$E$19:$I$19)+(($C$22*(1+$B16)^5*(D$15*(1-Inputs!$C$52)+$C$26)*(1+DCF!$C$11)-$C$27*$C$22*(1+$B16)^5*DCF!$C$11)/(DCF!$C$10-DCF!$C$11))/(1+DCF!$C$10)^DCF!$C$27+DCF!$C$45)/Inputs!$C$17*Inputs!$C$6</f>
        <v>41.6120726432459</v>
      </c>
      <c r="E16" s="39" t="n">
        <f aca="false">(DCF!$D$20+SUMPRODUCT(($C$22*(1+$B16)^$C$21:$G$21*(($C$23+(E$15-$C$23)*$C$21:$G$21/5)*(1-Inputs!$C$52)+$C$26)-$C$27*$C$22*(1+$B16)^($C$21:$G$21-1)*$B16)*DCF!$E$19:$I$19)+(($C$22*(1+$B16)^5*(E$15*(1-Inputs!$C$52)+$C$26)*(1+DCF!$C$11)-$C$27*$C$22*(1+$B16)^5*DCF!$C$11)/(DCF!$C$10-DCF!$C$11))/(1+DCF!$C$10)^DCF!$C$27+DCF!$C$45)/Inputs!$C$17*Inputs!$C$6</f>
        <v>47.2730735690104</v>
      </c>
      <c r="F16" s="39" t="n">
        <f aca="false">(DCF!$D$20+SUMPRODUCT(($C$22*(1+$B16)^$C$21:$G$21*(($C$23+(F$15-$C$23)*$C$21:$G$21/5)*(1-Inputs!$C$52)+$C$26)-$C$27*$C$22*(1+$B16)^($C$21:$G$21-1)*$B16)*DCF!$E$19:$I$19)+(($C$22*(1+$B16)^5*(F$15*(1-Inputs!$C$52)+$C$26)*(1+DCF!$C$11)-$C$27*$C$22*(1+$B16)^5*DCF!$C$11)/(DCF!$C$10-DCF!$C$11))/(1+DCF!$C$10)^DCF!$C$27+DCF!$C$45)/Inputs!$C$17*Inputs!$C$6</f>
        <v>52.9340744947749</v>
      </c>
      <c r="G16" s="39" t="n">
        <f aca="false">(DCF!$D$20+SUMPRODUCT(($C$22*(1+$B16)^$C$21:$G$21*(($C$23+(G$15-$C$23)*$C$21:$G$21/5)*(1-Inputs!$C$52)+$C$26)-$C$27*$C$22*(1+$B16)^($C$21:$G$21-1)*$B16)*DCF!$E$19:$I$19)+(($C$22*(1+$B16)^5*(G$15*(1-Inputs!$C$52)+$C$26)*(1+DCF!$C$11)-$C$27*$C$22*(1+$B16)^5*DCF!$C$11)/(DCF!$C$10-DCF!$C$11))/(1+DCF!$C$10)^DCF!$C$27+DCF!$C$45)/Inputs!$C$17*Inputs!$C$6</f>
        <v>58.5950754205393</v>
      </c>
    </row>
    <row r="17" customFormat="false" ht="15" hidden="false" customHeight="false" outlineLevel="0" collapsed="false">
      <c r="B17" s="38" t="n">
        <f aca="false">$C$25+(-0.02)</f>
        <v>0.0412351316918511</v>
      </c>
      <c r="C17" s="39" t="n">
        <f aca="false">(DCF!$D$20+SUMPRODUCT(($C$22*(1+$B17)^$C$21:$G$21*(($C$23+(C$15-$C$23)*$C$21:$G$21/5)*(1-Inputs!$C$52)+$C$26)-$C$27*$C$22*(1+$B17)^($C$21:$G$21-1)*$B17)*DCF!$E$19:$I$19)+(($C$22*(1+$B17)^5*(C$15*(1-Inputs!$C$52)+$C$26)*(1+DCF!$C$11)-$C$27*$C$22*(1+$B17)^5*DCF!$C$11)/(DCF!$C$10-DCF!$C$11))/(1+DCF!$C$10)^DCF!$C$27+DCF!$C$45)/Inputs!$C$17*Inputs!$C$6</f>
        <v>37.9740527623102</v>
      </c>
      <c r="D17" s="39" t="n">
        <f aca="false">(DCF!$D$20+SUMPRODUCT(($C$22*(1+$B17)^$C$21:$G$21*(($C$23+(D$15-$C$23)*$C$21:$G$21/5)*(1-Inputs!$C$52)+$C$26)-$C$27*$C$22*(1+$B17)^($C$21:$G$21-1)*$B17)*DCF!$E$19:$I$19)+(($C$22*(1+$B17)^5*(D$15*(1-Inputs!$C$52)+$C$26)*(1+DCF!$C$11)-$C$27*$C$22*(1+$B17)^5*DCF!$C$11)/(DCF!$C$10-DCF!$C$11))/(1+DCF!$C$10)^DCF!$C$27+DCF!$C$45)/Inputs!$C$17*Inputs!$C$6</f>
        <v>44.1712455088606</v>
      </c>
      <c r="E17" s="39" t="n">
        <f aca="false">(DCF!$D$20+SUMPRODUCT(($C$22*(1+$B17)^$C$21:$G$21*(($C$23+(E$15-$C$23)*$C$21:$G$21/5)*(1-Inputs!$C$52)+$C$26)-$C$27*$C$22*(1+$B17)^($C$21:$G$21-1)*$B17)*DCF!$E$19:$I$19)+(($C$22*(1+$B17)^5*(E$15*(1-Inputs!$C$52)+$C$26)*(1+DCF!$C$11)-$C$27*$C$22*(1+$B17)^5*DCF!$C$11)/(DCF!$C$10-DCF!$C$11))/(1+DCF!$C$10)^DCF!$C$27+DCF!$C$45)/Inputs!$C$17*Inputs!$C$6</f>
        <v>50.3684382554111</v>
      </c>
      <c r="F17" s="39" t="n">
        <f aca="false">(DCF!$D$20+SUMPRODUCT(($C$22*(1+$B17)^$C$21:$G$21*(($C$23+(F$15-$C$23)*$C$21:$G$21/5)*(1-Inputs!$C$52)+$C$26)-$C$27*$C$22*(1+$B17)^($C$21:$G$21-1)*$B17)*DCF!$E$19:$I$19)+(($C$22*(1+$B17)^5*(F$15*(1-Inputs!$C$52)+$C$26)*(1+DCF!$C$11)-$C$27*$C$22*(1+$B17)^5*DCF!$C$11)/(DCF!$C$10-DCF!$C$11))/(1+DCF!$C$10)^DCF!$C$27+DCF!$C$45)/Inputs!$C$17*Inputs!$C$6</f>
        <v>56.5656310019615</v>
      </c>
      <c r="G17" s="39" t="n">
        <f aca="false">(DCF!$D$20+SUMPRODUCT(($C$22*(1+$B17)^$C$21:$G$21*(($C$23+(G$15-$C$23)*$C$21:$G$21/5)*(1-Inputs!$C$52)+$C$26)-$C$27*$C$22*(1+$B17)^($C$21:$G$21-1)*$B17)*DCF!$E$19:$I$19)+(($C$22*(1+$B17)^5*(G$15*(1-Inputs!$C$52)+$C$26)*(1+DCF!$C$11)-$C$27*$C$22*(1+$B17)^5*DCF!$C$11)/(DCF!$C$10-DCF!$C$11))/(1+DCF!$C$10)^DCF!$C$27+DCF!$C$45)/Inputs!$C$17*Inputs!$C$6</f>
        <v>62.7628237485119</v>
      </c>
    </row>
    <row r="18" customFormat="false" ht="15" hidden="false" customHeight="false" outlineLevel="0" collapsed="false">
      <c r="B18" s="38" t="n">
        <f aca="false">$C$25+(0)</f>
        <v>0.0612351316918511</v>
      </c>
      <c r="C18" s="39" t="n">
        <f aca="false">(DCF!$D$20+SUMPRODUCT(($C$22*(1+$B18)^$C$21:$G$21*(($C$23+(C$15-$C$23)*$C$21:$G$21/5)*(1-Inputs!$C$52)+$C$26)-$C$27*$C$22*(1+$B18)^($C$21:$G$21-1)*$B18)*DCF!$E$19:$I$19)+(($C$22*(1+$B18)^5*(C$15*(1-Inputs!$C$52)+$C$26)*(1+DCF!$C$11)-$C$27*$C$22*(1+$B18)^5*DCF!$C$11)/(DCF!$C$10-DCF!$C$11))/(1+DCF!$C$10)^DCF!$C$27+DCF!$C$45)/Inputs!$C$17*Inputs!$C$6</f>
        <v>40.1453647545996</v>
      </c>
      <c r="D18" s="39" t="n">
        <f aca="false">(DCF!$D$20+SUMPRODUCT(($C$22*(1+$B18)^$C$21:$G$21*(($C$23+(D$15-$C$23)*$C$21:$G$21/5)*(1-Inputs!$C$52)+$C$26)-$C$27*$C$22*(1+$B18)^($C$21:$G$21-1)*$B18)*DCF!$E$19:$I$19)+(($C$22*(1+$B18)^5*(D$15*(1-Inputs!$C$52)+$C$26)*(1+DCF!$C$11)-$C$27*$C$22*(1+$B18)^5*DCF!$C$11)/(DCF!$C$10-DCF!$C$11))/(1+DCF!$C$10)^DCF!$C$27+DCF!$C$45)/Inputs!$C$17*Inputs!$C$6</f>
        <v>46.9196796017075</v>
      </c>
      <c r="E18" s="93" t="n">
        <f aca="false">(DCF!$D$20+SUMPRODUCT(($C$22*(1+$B18)^$C$21:$G$21*(($C$23+(E$15-$C$23)*$C$21:$G$21/5)*(1-Inputs!$C$52)+$C$26)-$C$27*$C$22*(1+$B18)^($C$21:$G$21-1)*$B18)*DCF!$E$19:$I$19)+(($C$22*(1+$B18)^5*(E$15*(1-Inputs!$C$52)+$C$26)*(1+DCF!$C$11)-$C$27*$C$22*(1+$B18)^5*DCF!$C$11)/(DCF!$C$10-DCF!$C$11))/(1+DCF!$C$10)^DCF!$C$27+DCF!$C$45)/Inputs!$C$17*Inputs!$C$6</f>
        <v>53.6939944488154</v>
      </c>
      <c r="F18" s="39" t="n">
        <f aca="false">(DCF!$D$20+SUMPRODUCT(($C$22*(1+$B18)^$C$21:$G$21*(($C$23+(F$15-$C$23)*$C$21:$G$21/5)*(1-Inputs!$C$52)+$C$26)-$C$27*$C$22*(1+$B18)^($C$21:$G$21-1)*$B18)*DCF!$E$19:$I$19)+(($C$22*(1+$B18)^5*(F$15*(1-Inputs!$C$52)+$C$26)*(1+DCF!$C$11)-$C$27*$C$22*(1+$B18)^5*DCF!$C$11)/(DCF!$C$10-DCF!$C$11))/(1+DCF!$C$10)^DCF!$C$27+DCF!$C$45)/Inputs!$C$17*Inputs!$C$6</f>
        <v>60.4683092959233</v>
      </c>
      <c r="G18" s="39" t="n">
        <f aca="false">(DCF!$D$20+SUMPRODUCT(($C$22*(1+$B18)^$C$21:$G$21*(($C$23+(G$15-$C$23)*$C$21:$G$21/5)*(1-Inputs!$C$52)+$C$26)-$C$27*$C$22*(1+$B18)^($C$21:$G$21-1)*$B18)*DCF!$E$19:$I$19)+(($C$22*(1+$B18)^5*(G$15*(1-Inputs!$C$52)+$C$26)*(1+DCF!$C$11)-$C$27*$C$22*(1+$B18)^5*DCF!$C$11)/(DCF!$C$10-DCF!$C$11))/(1+DCF!$C$10)^DCF!$C$27+DCF!$C$45)/Inputs!$C$17*Inputs!$C$6</f>
        <v>67.2426241430313</v>
      </c>
    </row>
    <row r="19" customFormat="false" ht="15" hidden="false" customHeight="false" outlineLevel="0" collapsed="false">
      <c r="B19" s="38" t="n">
        <f aca="false">$C$25+(0.02)</f>
        <v>0.0812351316918511</v>
      </c>
      <c r="C19" s="39" t="n">
        <f aca="false">(DCF!$D$20+SUMPRODUCT(($C$22*(1+$B19)^$C$21:$G$21*(($C$23+(C$15-$C$23)*$C$21:$G$21/5)*(1-Inputs!$C$52)+$C$26)-$C$27*$C$22*(1+$B19)^($C$21:$G$21-1)*$B19)*DCF!$E$19:$I$19)+(($C$22*(1+$B19)^5*(C$15*(1-Inputs!$C$52)+$C$26)*(1+DCF!$C$11)-$C$27*$C$22*(1+$B19)^5*DCF!$C$11)/(DCF!$C$10-DCF!$C$11))/(1+DCF!$C$10)^DCF!$C$27+DCF!$C$45)/Inputs!$C$17*Inputs!$C$6</f>
        <v>42.473356442826</v>
      </c>
      <c r="D19" s="39" t="n">
        <f aca="false">(DCF!$D$20+SUMPRODUCT(($C$22*(1+$B19)^$C$21:$G$21*(($C$23+(D$15-$C$23)*$C$21:$G$21/5)*(1-Inputs!$C$52)+$C$26)-$C$27*$C$22*(1+$B19)^($C$21:$G$21-1)*$B19)*DCF!$E$19:$I$19)+(($C$22*(1+$B19)^5*(D$15*(1-Inputs!$C$52)+$C$26)*(1+DCF!$C$11)-$C$27*$C$22*(1+$B19)^5*DCF!$C$11)/(DCF!$C$10-DCF!$C$11))/(1+DCF!$C$10)^DCF!$C$27+DCF!$C$45)/Inputs!$C$17*Inputs!$C$6</f>
        <v>49.8680604721404</v>
      </c>
      <c r="E19" s="39" t="n">
        <f aca="false">(DCF!$D$20+SUMPRODUCT(($C$22*(1+$B19)^$C$21:$G$21*(($C$23+(E$15-$C$23)*$C$21:$G$21/5)*(1-Inputs!$C$52)+$C$26)-$C$27*$C$22*(1+$B19)^($C$21:$G$21-1)*$B19)*DCF!$E$19:$I$19)+(($C$22*(1+$B19)^5*(E$15*(1-Inputs!$C$52)+$C$26)*(1+DCF!$C$11)-$C$27*$C$22*(1+$B19)^5*DCF!$C$11)/(DCF!$C$10-DCF!$C$11))/(1+DCF!$C$10)^DCF!$C$27+DCF!$C$45)/Inputs!$C$17*Inputs!$C$6</f>
        <v>57.2627645014547</v>
      </c>
      <c r="F19" s="39" t="n">
        <f aca="false">(DCF!$D$20+SUMPRODUCT(($C$22*(1+$B19)^$C$21:$G$21*(($C$23+(F$15-$C$23)*$C$21:$G$21/5)*(1-Inputs!$C$52)+$C$26)-$C$27*$C$22*(1+$B19)^($C$21:$G$21-1)*$B19)*DCF!$E$19:$I$19)+(($C$22*(1+$B19)^5*(F$15*(1-Inputs!$C$52)+$C$26)*(1+DCF!$C$11)-$C$27*$C$22*(1+$B19)^5*DCF!$C$11)/(DCF!$C$10-DCF!$C$11))/(1+DCF!$C$10)^DCF!$C$27+DCF!$C$45)/Inputs!$C$17*Inputs!$C$6</f>
        <v>64.6574685307691</v>
      </c>
      <c r="G19" s="39" t="n">
        <f aca="false">(DCF!$D$20+SUMPRODUCT(($C$22*(1+$B19)^$C$21:$G$21*(($C$23+(G$15-$C$23)*$C$21:$G$21/5)*(1-Inputs!$C$52)+$C$26)-$C$27*$C$22*(1+$B19)^($C$21:$G$21-1)*$B19)*DCF!$E$19:$I$19)+(($C$22*(1+$B19)^5*(G$15*(1-Inputs!$C$52)+$C$26)*(1+DCF!$C$11)-$C$27*$C$22*(1+$B19)^5*DCF!$C$11)/(DCF!$C$10-DCF!$C$11))/(1+DCF!$C$10)^DCF!$C$27+DCF!$C$45)/Inputs!$C$17*Inputs!$C$6</f>
        <v>72.0521725600834</v>
      </c>
    </row>
    <row r="20" customFormat="false" ht="15" hidden="false" customHeight="false" outlineLevel="0" collapsed="false">
      <c r="B20" s="38" t="n">
        <f aca="false">$C$25+(0.04)</f>
        <v>0.101235131691851</v>
      </c>
      <c r="C20" s="39" t="n">
        <f aca="false">(DCF!$D$20+SUMPRODUCT(($C$22*(1+$B20)^$C$21:$G$21*(($C$23+(C$15-$C$23)*$C$21:$G$21/5)*(1-Inputs!$C$52)+$C$26)-$C$27*$C$22*(1+$B20)^($C$21:$G$21-1)*$B20)*DCF!$E$19:$I$19)+(($C$22*(1+$B20)^5*(C$15*(1-Inputs!$C$52)+$C$26)*(1+DCF!$C$11)-$C$27*$C$22*(1+$B20)^5*DCF!$C$11)/(DCF!$C$10-DCF!$C$11))/(1+DCF!$C$10)^DCF!$C$27+DCF!$C$45)/Inputs!$C$17*Inputs!$C$6</f>
        <v>44.9666892424955</v>
      </c>
      <c r="D20" s="39" t="n">
        <f aca="false">(DCF!$D$20+SUMPRODUCT(($C$22*(1+$B20)^$C$21:$G$21*(($C$23+(D$15-$C$23)*$C$21:$G$21/5)*(1-Inputs!$C$52)+$C$26)-$C$27*$C$22*(1+$B20)^($C$21:$G$21-1)*$B20)*DCF!$E$19:$I$19)+(($C$22*(1+$B20)^5*(D$15*(1-Inputs!$C$52)+$C$26)*(1+DCF!$C$11)-$C$27*$C$22*(1+$B20)^5*DCF!$C$11)/(DCF!$C$10-DCF!$C$11))/(1+DCF!$C$10)^DCF!$C$27+DCF!$C$45)/Inputs!$C$17*Inputs!$C$6</f>
        <v>53.0274743937696</v>
      </c>
      <c r="E20" s="39" t="n">
        <f aca="false">(DCF!$D$20+SUMPRODUCT(($C$22*(1+$B20)^$C$21:$G$21*(($C$23+(E$15-$C$23)*$C$21:$G$21/5)*(1-Inputs!$C$52)+$C$26)-$C$27*$C$22*(1+$B20)^($C$21:$G$21-1)*$B20)*DCF!$E$19:$I$19)+(($C$22*(1+$B20)^5*(E$15*(1-Inputs!$C$52)+$C$26)*(1+DCF!$C$11)-$C$27*$C$22*(1+$B20)^5*DCF!$C$11)/(DCF!$C$10-DCF!$C$11))/(1+DCF!$C$10)^DCF!$C$27+DCF!$C$45)/Inputs!$C$17*Inputs!$C$6</f>
        <v>61.0882595450437</v>
      </c>
      <c r="F20" s="39" t="n">
        <f aca="false">(DCF!$D$20+SUMPRODUCT(($C$22*(1+$B20)^$C$21:$G$21*(($C$23+(F$15-$C$23)*$C$21:$G$21/5)*(1-Inputs!$C$52)+$C$26)-$C$27*$C$22*(1+$B20)^($C$21:$G$21-1)*$B20)*DCF!$E$19:$I$19)+(($C$22*(1+$B20)^5*(F$15*(1-Inputs!$C$52)+$C$26)*(1+DCF!$C$11)-$C$27*$C$22*(1+$B20)^5*DCF!$C$11)/(DCF!$C$10-DCF!$C$11))/(1+DCF!$C$10)^DCF!$C$27+DCF!$C$45)/Inputs!$C$17*Inputs!$C$6</f>
        <v>69.1490446963178</v>
      </c>
      <c r="G20" s="39" t="n">
        <f aca="false">(DCF!$D$20+SUMPRODUCT(($C$22*(1+$B20)^$C$21:$G$21*(($C$23+(G$15-$C$23)*$C$21:$G$21/5)*(1-Inputs!$C$52)+$C$26)-$C$27*$C$22*(1+$B20)^($C$21:$G$21-1)*$B20)*DCF!$E$19:$I$19)+(($C$22*(1+$B20)^5*(G$15*(1-Inputs!$C$52)+$C$26)*(1+DCF!$C$11)-$C$27*$C$22*(1+$B20)^5*DCF!$C$11)/(DCF!$C$10-DCF!$C$11))/(1+DCF!$C$10)^DCF!$C$27+DCF!$C$45)/Inputs!$C$17*Inputs!$C$6</f>
        <v>77.2098298475919</v>
      </c>
    </row>
    <row r="21" customFormat="false" ht="15" hidden="false" customHeight="false" outlineLevel="0" collapsed="false">
      <c r="A21" s="43" t="s">
        <v>566</v>
      </c>
      <c r="C21" s="94" t="n">
        <v>1</v>
      </c>
      <c r="D21" s="94" t="n">
        <v>2</v>
      </c>
      <c r="E21" s="94" t="n">
        <v>3</v>
      </c>
      <c r="F21" s="94" t="n">
        <v>4</v>
      </c>
      <c r="G21" s="94" t="n">
        <v>5</v>
      </c>
    </row>
    <row r="22" customFormat="false" ht="15" hidden="false" customHeight="false" outlineLevel="0" collapsed="false">
      <c r="A22" s="43" t="s">
        <v>567</v>
      </c>
      <c r="C22" s="95" t="n">
        <f aca="false">'Income Statement'!F6</f>
        <v>41882.58</v>
      </c>
    </row>
    <row r="23" customFormat="false" ht="15" hidden="false" customHeight="false" outlineLevel="0" collapsed="false">
      <c r="A23" s="43" t="s">
        <v>568</v>
      </c>
      <c r="C23" s="88" t="n">
        <f aca="false">'Income Statement'!F30</f>
        <v>0.0247009530453949</v>
      </c>
    </row>
    <row r="24" customFormat="false" ht="15" hidden="false" customHeight="false" outlineLevel="0" collapsed="false">
      <c r="A24" s="43" t="s">
        <v>569</v>
      </c>
      <c r="C24" s="88" t="n">
        <f aca="false">'Income Statement'!K30</f>
        <v>0.0464200000000001</v>
      </c>
    </row>
    <row r="25" customFormat="false" ht="15" hidden="false" customHeight="false" outlineLevel="0" collapsed="false">
      <c r="A25" s="43" t="s">
        <v>570</v>
      </c>
      <c r="C25" s="50" t="n">
        <f aca="false">('Income Statement'!K6/'Income Statement'!F6)^(1/5)-1</f>
        <v>0.0612351316918511</v>
      </c>
    </row>
    <row r="26" customFormat="false" ht="15" hidden="false" customHeight="false" outlineLevel="0" collapsed="false">
      <c r="A26" s="43" t="s">
        <v>571</v>
      </c>
      <c r="C26" s="73" t="n">
        <f aca="false">('DCF Inputs'!K12+'DCF Inputs'!K13)/'Income Statement'!K6</f>
        <v>-0.0032</v>
      </c>
    </row>
    <row r="27" customFormat="false" ht="15" hidden="false" customHeight="false" outlineLevel="0" collapsed="false">
      <c r="A27" s="43" t="s">
        <v>572</v>
      </c>
      <c r="C27" s="50" t="n">
        <f aca="false">'Balance Sheet'!K58/'Income Statement'!K6</f>
        <v>-0.0976175890410959</v>
      </c>
    </row>
    <row r="29" customFormat="false" ht="15" hidden="false" customHeight="false" outlineLevel="0" collapsed="false">
      <c r="A29" s="4" t="s">
        <v>573</v>
      </c>
      <c r="B29" s="5"/>
      <c r="C29" s="5"/>
      <c r="D29" s="5"/>
      <c r="E29" s="5"/>
      <c r="F29" s="5"/>
      <c r="G29" s="5"/>
      <c r="H29" s="5"/>
      <c r="I29" s="5"/>
    </row>
    <row r="30" customFormat="false" ht="15" hidden="false" customHeight="false" outlineLevel="0" collapsed="false">
      <c r="B30" s="36" t="s">
        <v>574</v>
      </c>
      <c r="C30" s="38" t="n">
        <v>-0.2</v>
      </c>
      <c r="D30" s="38" t="n">
        <v>-0.1</v>
      </c>
      <c r="E30" s="38" t="n">
        <v>0</v>
      </c>
      <c r="F30" s="38" t="n">
        <v>0.1</v>
      </c>
      <c r="G30" s="38" t="n">
        <v>0.2</v>
      </c>
    </row>
    <row r="31" customFormat="false" ht="15" hidden="false" customHeight="false" outlineLevel="0" collapsed="false">
      <c r="B31" s="96" t="n">
        <v>10</v>
      </c>
      <c r="C31" s="39" t="n">
        <f aca="false">$B31*'Income Statement'!$G$66*(1+C$30)</f>
        <v>20.5936731931985</v>
      </c>
      <c r="D31" s="39" t="n">
        <f aca="false">$B31*'Income Statement'!$G$66*(1+D$30)</f>
        <v>23.1678823423483</v>
      </c>
      <c r="E31" s="39" t="n">
        <f aca="false">$B31*'Income Statement'!$G$66*(1+E$30)</f>
        <v>25.7420914914981</v>
      </c>
      <c r="F31" s="39" t="n">
        <f aca="false">$B31*'Income Statement'!$G$66*(1+F$30)</f>
        <v>28.3163006406479</v>
      </c>
      <c r="G31" s="39" t="n">
        <f aca="false">$B31*'Income Statement'!$G$66*(1+G$30)</f>
        <v>30.8905097897977</v>
      </c>
    </row>
    <row r="32" customFormat="false" ht="15" hidden="false" customHeight="false" outlineLevel="0" collapsed="false">
      <c r="B32" s="96" t="n">
        <v>12</v>
      </c>
      <c r="C32" s="39" t="n">
        <f aca="false">$B32*'Income Statement'!$G$66*(1+C$30)</f>
        <v>24.7124078318382</v>
      </c>
      <c r="D32" s="39" t="n">
        <f aca="false">$B32*'Income Statement'!$G$66*(1+D$30)</f>
        <v>27.8014588108179</v>
      </c>
      <c r="E32" s="39" t="n">
        <f aca="false">$B32*'Income Statement'!$G$66*(1+E$30)</f>
        <v>30.8905097897977</v>
      </c>
      <c r="F32" s="39" t="n">
        <f aca="false">$B32*'Income Statement'!$G$66*(1+F$30)</f>
        <v>33.9795607687775</v>
      </c>
      <c r="G32" s="39" t="n">
        <f aca="false">$B32*'Income Statement'!$G$66*(1+G$30)</f>
        <v>37.0686117477573</v>
      </c>
    </row>
    <row r="33" customFormat="false" ht="15" hidden="false" customHeight="false" outlineLevel="0" collapsed="false">
      <c r="B33" s="96" t="n">
        <v>14</v>
      </c>
      <c r="C33" s="39" t="n">
        <f aca="false">$B33*'Income Statement'!$G$66*(1+C$30)</f>
        <v>28.8311424704779</v>
      </c>
      <c r="D33" s="39" t="n">
        <f aca="false">$B33*'Income Statement'!$G$66*(1+D$30)</f>
        <v>32.4350352792876</v>
      </c>
      <c r="E33" s="93" t="n">
        <f aca="false">$B33*'Income Statement'!$G$66*(1+E$30)</f>
        <v>36.0389280880973</v>
      </c>
      <c r="F33" s="39" t="n">
        <f aca="false">$B33*'Income Statement'!$G$66*(1+F$30)</f>
        <v>39.6428208969071</v>
      </c>
      <c r="G33" s="39" t="n">
        <f aca="false">$B33*'Income Statement'!$G$66*(1+G$30)</f>
        <v>43.2467137057168</v>
      </c>
    </row>
    <row r="34" customFormat="false" ht="15" hidden="false" customHeight="false" outlineLevel="0" collapsed="false">
      <c r="B34" s="96" t="n">
        <v>16</v>
      </c>
      <c r="C34" s="39" t="n">
        <f aca="false">$B34*'Income Statement'!$G$66*(1+C$30)</f>
        <v>32.9498771091176</v>
      </c>
      <c r="D34" s="39" t="n">
        <f aca="false">$B34*'Income Statement'!$G$66*(1+D$30)</f>
        <v>37.0686117477573</v>
      </c>
      <c r="E34" s="39" t="n">
        <f aca="false">$B34*'Income Statement'!$G$66*(1+E$30)</f>
        <v>41.187346386397</v>
      </c>
      <c r="F34" s="39" t="n">
        <f aca="false">$B34*'Income Statement'!$G$66*(1+F$30)</f>
        <v>45.3060810250367</v>
      </c>
      <c r="G34" s="39" t="n">
        <f aca="false">$B34*'Income Statement'!$G$66*(1+G$30)</f>
        <v>49.4248156636764</v>
      </c>
    </row>
    <row r="35" customFormat="false" ht="15" hidden="false" customHeight="false" outlineLevel="0" collapsed="false">
      <c r="B35" s="96" t="n">
        <v>18</v>
      </c>
      <c r="C35" s="39" t="n">
        <f aca="false">$B35*'Income Statement'!$G$66*(1+C$30)</f>
        <v>37.0686117477573</v>
      </c>
      <c r="D35" s="39" t="n">
        <f aca="false">$B35*'Income Statement'!$G$66*(1+D$30)</f>
        <v>41.7021882162269</v>
      </c>
      <c r="E35" s="39" t="n">
        <f aca="false">$B35*'Income Statement'!$G$66*(1+E$30)</f>
        <v>46.3357646846966</v>
      </c>
      <c r="F35" s="39" t="n">
        <f aca="false">$B35*'Income Statement'!$G$66*(1+F$30)</f>
        <v>50.9693411531662</v>
      </c>
      <c r="G35" s="39" t="n">
        <f aca="false">$B35*'Income Statement'!$G$66*(1+G$30)</f>
        <v>55.6029176216359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7" min="11" style="0" width="9"/>
    <col collapsed="false" customWidth="true" hidden="false" outlineLevel="0" max="20" min="18" style="0" width="11"/>
  </cols>
  <sheetData>
    <row r="1" customFormat="false" ht="15" hidden="false" customHeight="false" outlineLevel="0" collapsed="false">
      <c r="A1" s="1" t="s">
        <v>575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576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15" hidden="false" customHeight="false" outlineLevel="0" collapsed="false">
      <c r="A4" s="4" t="s">
        <v>577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customFormat="false" ht="15" hidden="false" customHeight="false" outlineLevel="0" collapsed="false">
      <c r="A5" s="9" t="s">
        <v>578</v>
      </c>
      <c r="C5" s="20" t="n">
        <v>1.14</v>
      </c>
    </row>
    <row r="6" customFormat="false" ht="15" hidden="false" customHeight="false" outlineLevel="0" collapsed="false">
      <c r="A6" s="9" t="s">
        <v>579</v>
      </c>
      <c r="C6" s="21" t="n">
        <v>9.9</v>
      </c>
    </row>
    <row r="7" customFormat="false" ht="15" hidden="false" customHeight="false" outlineLevel="0" collapsed="false">
      <c r="A7" s="9" t="s">
        <v>580</v>
      </c>
      <c r="C7" s="23" t="n">
        <v>157.6</v>
      </c>
    </row>
    <row r="8" customFormat="false" ht="15" hidden="false" customHeight="false" outlineLevel="0" collapsed="false">
      <c r="A8" s="9" t="s">
        <v>581</v>
      </c>
      <c r="C8" s="20" t="n">
        <v>1.325</v>
      </c>
    </row>
    <row r="10" customFormat="false" ht="30" hidden="false" customHeight="true" outlineLevel="0" collapsed="false">
      <c r="A10" s="97" t="s">
        <v>582</v>
      </c>
      <c r="B10" s="97" t="s">
        <v>583</v>
      </c>
      <c r="C10" s="97" t="s">
        <v>584</v>
      </c>
      <c r="D10" s="97" t="s">
        <v>585</v>
      </c>
      <c r="E10" s="97" t="s">
        <v>586</v>
      </c>
      <c r="F10" s="97" t="s">
        <v>587</v>
      </c>
      <c r="G10" s="97" t="s">
        <v>588</v>
      </c>
      <c r="H10" s="97" t="s">
        <v>589</v>
      </c>
      <c r="I10" s="97" t="s">
        <v>590</v>
      </c>
      <c r="J10" s="97" t="s">
        <v>591</v>
      </c>
      <c r="K10" s="97" t="s">
        <v>592</v>
      </c>
      <c r="L10" s="97" t="s">
        <v>593</v>
      </c>
      <c r="M10" s="97" t="s">
        <v>594</v>
      </c>
      <c r="N10" s="97" t="s">
        <v>595</v>
      </c>
      <c r="O10" s="97" t="s">
        <v>596</v>
      </c>
      <c r="P10" s="97" t="s">
        <v>597</v>
      </c>
      <c r="Q10" s="97" t="s">
        <v>598</v>
      </c>
      <c r="R10" s="97" t="s">
        <v>599</v>
      </c>
      <c r="S10" s="97" t="s">
        <v>600</v>
      </c>
      <c r="T10" s="97" t="s">
        <v>601</v>
      </c>
    </row>
    <row r="11" customFormat="false" ht="15" hidden="false" customHeight="false" outlineLevel="0" collapsed="false">
      <c r="A11" s="9" t="s">
        <v>602</v>
      </c>
      <c r="B11" s="9" t="s">
        <v>603</v>
      </c>
      <c r="C11" s="9" t="s">
        <v>604</v>
      </c>
      <c r="D11" s="9" t="s">
        <v>605</v>
      </c>
      <c r="E11" s="21" t="n">
        <v>54.02</v>
      </c>
      <c r="F11" s="21" t="n">
        <v>165.97</v>
      </c>
      <c r="G11" s="77" t="n">
        <f aca="false">1/Comps!$C$5</f>
        <v>0.87719298245614</v>
      </c>
      <c r="H11" s="24" t="n">
        <f aca="false">F11/G11</f>
        <v>189.2058</v>
      </c>
      <c r="I11" s="21" t="n">
        <v>161.77</v>
      </c>
      <c r="J11" s="24" t="n">
        <f aca="false">I11/G11</f>
        <v>184.4178</v>
      </c>
      <c r="K11" s="98" t="n">
        <v>3.92</v>
      </c>
      <c r="L11" s="98" t="n">
        <v>14.09</v>
      </c>
      <c r="M11" s="98" t="n">
        <v>19.22</v>
      </c>
      <c r="N11" s="98" t="n">
        <v>25.93</v>
      </c>
      <c r="O11" s="98" t="n">
        <v>23.51</v>
      </c>
      <c r="P11" s="30" t="n">
        <f aca="false">S11/R11</f>
        <v>0.236791080950073</v>
      </c>
      <c r="Q11" s="30" t="n">
        <f aca="false">T11/R11</f>
        <v>0.155356277266117</v>
      </c>
      <c r="R11" s="21" t="n">
        <v>41.26</v>
      </c>
      <c r="S11" s="20" t="n">
        <v>9.77</v>
      </c>
      <c r="T11" s="20" t="n">
        <v>6.41</v>
      </c>
    </row>
    <row r="12" customFormat="false" ht="15" hidden="false" customHeight="false" outlineLevel="0" collapsed="false">
      <c r="A12" s="9" t="s">
        <v>606</v>
      </c>
      <c r="B12" s="9" t="s">
        <v>607</v>
      </c>
      <c r="C12" s="9" t="s">
        <v>604</v>
      </c>
      <c r="D12" s="9" t="s">
        <v>608</v>
      </c>
      <c r="E12" s="21" t="n">
        <v>159.15</v>
      </c>
      <c r="F12" s="21" t="n">
        <v>250.55</v>
      </c>
      <c r="G12" s="99" t="n">
        <f aca="false">Comps!$C$6</f>
        <v>9.9</v>
      </c>
      <c r="H12" s="24" t="n">
        <f aca="false">F12/G12</f>
        <v>25.3080808080808</v>
      </c>
      <c r="I12" s="21" t="n">
        <v>303.49</v>
      </c>
      <c r="J12" s="24" t="n">
        <f aca="false">I12/G12</f>
        <v>30.6555555555556</v>
      </c>
      <c r="K12" s="98" t="n">
        <v>1.37</v>
      </c>
      <c r="L12" s="98" t="n">
        <v>8.22</v>
      </c>
      <c r="M12" s="98" t="n">
        <v>15.3</v>
      </c>
      <c r="N12" s="98" t="n">
        <v>19.01</v>
      </c>
      <c r="O12" s="98" t="n">
        <v>19.33</v>
      </c>
      <c r="P12" s="30" t="n">
        <f aca="false">S12/R12</f>
        <v>0.113063165044148</v>
      </c>
      <c r="Q12" s="30" t="n">
        <f aca="false">T12/R12</f>
        <v>0.0597690740321485</v>
      </c>
      <c r="R12" s="21" t="n">
        <v>220.85</v>
      </c>
      <c r="S12" s="20" t="n">
        <v>24.97</v>
      </c>
      <c r="T12" s="20" t="n">
        <v>13.2</v>
      </c>
    </row>
    <row r="13" customFormat="false" ht="15" hidden="false" customHeight="false" outlineLevel="0" collapsed="false">
      <c r="A13" s="9" t="s">
        <v>609</v>
      </c>
      <c r="B13" s="9" t="s">
        <v>610</v>
      </c>
      <c r="C13" s="9" t="s">
        <v>604</v>
      </c>
      <c r="D13" s="9" t="s">
        <v>611</v>
      </c>
      <c r="E13" s="21" t="n">
        <v>70860</v>
      </c>
      <c r="F13" s="21" t="n">
        <v>21850</v>
      </c>
      <c r="G13" s="99" t="n">
        <f aca="false">Comps!$C$7</f>
        <v>157.6</v>
      </c>
      <c r="H13" s="24" t="n">
        <f aca="false">F13/G13</f>
        <v>138.642131979695</v>
      </c>
      <c r="I13" s="21" t="n">
        <v>20640</v>
      </c>
      <c r="J13" s="24" t="n">
        <f aca="false">I13/G13</f>
        <v>130.964467005076</v>
      </c>
      <c r="K13" s="98" t="n">
        <v>5.36</v>
      </c>
      <c r="L13" s="98" t="n">
        <v>22.62</v>
      </c>
      <c r="M13" s="98" t="n">
        <v>29.03</v>
      </c>
      <c r="N13" s="98" t="n">
        <v>42.08</v>
      </c>
      <c r="O13" s="98" t="n">
        <v>38.81</v>
      </c>
      <c r="P13" s="30" t="n">
        <f aca="false">S13/R13</f>
        <v>0.201262337662338</v>
      </c>
      <c r="Q13" s="30" t="n">
        <f aca="false">T13/R13</f>
        <v>0.135062337662338</v>
      </c>
      <c r="R13" s="21" t="n">
        <v>3850</v>
      </c>
      <c r="S13" s="20" t="n">
        <v>774.86</v>
      </c>
      <c r="T13" s="20" t="n">
        <v>519.99</v>
      </c>
    </row>
    <row r="14" customFormat="false" ht="15" hidden="false" customHeight="false" outlineLevel="0" collapsed="false">
      <c r="A14" s="9" t="s">
        <v>612</v>
      </c>
      <c r="B14" s="9" t="s">
        <v>613</v>
      </c>
      <c r="C14" s="9" t="s">
        <v>614</v>
      </c>
      <c r="D14" s="9" t="s">
        <v>605</v>
      </c>
      <c r="E14" s="21" t="n">
        <v>22.44</v>
      </c>
      <c r="F14" s="21" t="n">
        <v>5.27</v>
      </c>
      <c r="G14" s="77" t="n">
        <f aca="false">1/Comps!$C$5</f>
        <v>0.87719298245614</v>
      </c>
      <c r="H14" s="24" t="n">
        <f aca="false">F14/G14</f>
        <v>6.0078</v>
      </c>
      <c r="I14" s="21" t="n">
        <v>5.18</v>
      </c>
      <c r="J14" s="24" t="n">
        <f aca="false">I14/G14</f>
        <v>5.9052</v>
      </c>
      <c r="K14" s="98" t="n">
        <v>0.38</v>
      </c>
      <c r="L14" s="98" t="n">
        <v>6.38</v>
      </c>
      <c r="M14" s="98" t="n">
        <v>12.36</v>
      </c>
      <c r="N14" s="98" t="n">
        <v>59.31</v>
      </c>
      <c r="O14" s="98" t="n">
        <v>12.87</v>
      </c>
      <c r="P14" s="30" t="n">
        <f aca="false">S14/R14</f>
        <v>0.0484085862324204</v>
      </c>
      <c r="Q14" s="30" t="n">
        <f aca="false">T14/R14</f>
        <v>0.00701702442635085</v>
      </c>
      <c r="R14" s="21" t="n">
        <v>13.51</v>
      </c>
      <c r="S14" s="20" t="n">
        <v>0.654</v>
      </c>
      <c r="T14" s="20" t="n">
        <v>0.0948</v>
      </c>
    </row>
    <row r="15" customFormat="false" ht="15" hidden="false" customHeight="false" outlineLevel="0" collapsed="false">
      <c r="A15" s="9" t="s">
        <v>615</v>
      </c>
      <c r="B15" s="9" t="s">
        <v>616</v>
      </c>
      <c r="C15" s="9" t="s">
        <v>614</v>
      </c>
      <c r="D15" s="9" t="s">
        <v>617</v>
      </c>
      <c r="E15" s="21" t="n">
        <v>4.915</v>
      </c>
      <c r="F15" s="21" t="n">
        <v>0.584</v>
      </c>
      <c r="G15" s="77" t="n">
        <f aca="false">1/Comps!$C$8</f>
        <v>0.754716981132076</v>
      </c>
      <c r="H15" s="24" t="n">
        <f aca="false">F15/G15</f>
        <v>0.7738</v>
      </c>
      <c r="I15" s="21" t="n">
        <v>1.1</v>
      </c>
      <c r="J15" s="24" t="n">
        <f aca="false">I15/G15</f>
        <v>1.4575</v>
      </c>
      <c r="K15" s="98" t="n">
        <v>0.48</v>
      </c>
      <c r="L15" s="100" t="s">
        <v>618</v>
      </c>
      <c r="M15" s="100" t="s">
        <v>618</v>
      </c>
      <c r="N15" s="100" t="s">
        <v>618</v>
      </c>
      <c r="O15" s="100" t="s">
        <v>618</v>
      </c>
      <c r="P15" s="30" t="n">
        <f aca="false">S15/R15</f>
        <v>-0.0318340611353712</v>
      </c>
      <c r="Q15" s="30" t="n">
        <f aca="false">T15/R15</f>
        <v>-0.100829694323144</v>
      </c>
      <c r="R15" s="21" t="n">
        <v>2.29</v>
      </c>
      <c r="S15" s="20" t="n">
        <v>-0.0729</v>
      </c>
      <c r="T15" s="20" t="n">
        <v>-0.2309</v>
      </c>
    </row>
    <row r="16" customFormat="false" ht="15" hidden="false" customHeight="false" outlineLevel="0" collapsed="false">
      <c r="A16" s="9" t="s">
        <v>619</v>
      </c>
      <c r="B16" s="9" t="s">
        <v>620</v>
      </c>
      <c r="C16" s="9" t="s">
        <v>614</v>
      </c>
      <c r="D16" s="9" t="s">
        <v>621</v>
      </c>
      <c r="E16" s="21" t="n">
        <v>21.27</v>
      </c>
      <c r="F16" s="21" t="n">
        <v>1.51</v>
      </c>
      <c r="G16" s="77" t="n">
        <f aca="false">1</f>
        <v>1</v>
      </c>
      <c r="H16" s="24" t="n">
        <f aca="false">F16/G16</f>
        <v>1.51</v>
      </c>
      <c r="I16" s="21" t="n">
        <v>1.23</v>
      </c>
      <c r="J16" s="24" t="n">
        <f aca="false">I16/G16</f>
        <v>1.23</v>
      </c>
      <c r="K16" s="98" t="n">
        <v>0.94</v>
      </c>
      <c r="L16" s="98" t="n">
        <v>14.12</v>
      </c>
      <c r="M16" s="98" t="n">
        <v>15.02</v>
      </c>
      <c r="N16" s="98" t="n">
        <v>20.98</v>
      </c>
      <c r="O16" s="98" t="n">
        <v>21.2</v>
      </c>
      <c r="P16" s="30" t="n">
        <f aca="false">S16/R16</f>
        <v>0.0665648854961832</v>
      </c>
      <c r="Q16" s="30" t="n">
        <f aca="false">T16/R16</f>
        <v>0.0554198473282443</v>
      </c>
      <c r="R16" s="21" t="n">
        <v>1.31</v>
      </c>
      <c r="S16" s="20" t="n">
        <v>0.0872</v>
      </c>
      <c r="T16" s="20" t="n">
        <v>0.0726</v>
      </c>
    </row>
    <row r="17" customFormat="false" ht="15" hidden="false" customHeight="false" outlineLevel="0" collapsed="false">
      <c r="A17" s="9" t="s">
        <v>622</v>
      </c>
      <c r="B17" s="9" t="s">
        <v>623</v>
      </c>
      <c r="C17" s="9" t="s">
        <v>624</v>
      </c>
      <c r="D17" s="9" t="s">
        <v>621</v>
      </c>
      <c r="E17" s="21" t="n">
        <v>77.5</v>
      </c>
      <c r="F17" s="21" t="n">
        <v>110.31</v>
      </c>
      <c r="G17" s="77" t="n">
        <f aca="false">1</f>
        <v>1</v>
      </c>
      <c r="H17" s="24" t="n">
        <f aca="false">F17/G17</f>
        <v>110.31</v>
      </c>
      <c r="I17" s="21" t="n">
        <v>43.84</v>
      </c>
      <c r="J17" s="24" t="n">
        <f aca="false">I17/G17</f>
        <v>43.84</v>
      </c>
      <c r="K17" s="98" t="n">
        <v>0.66</v>
      </c>
      <c r="L17" s="98" t="n">
        <v>3</v>
      </c>
      <c r="M17" s="98" t="n">
        <v>3.02</v>
      </c>
      <c r="N17" s="98" t="n">
        <v>8.46</v>
      </c>
      <c r="O17" s="98" t="n">
        <v>6.8</v>
      </c>
      <c r="P17" s="30" t="n">
        <f aca="false">S17/R17</f>
        <v>0.219861362266426</v>
      </c>
      <c r="Q17" s="30" t="n">
        <f aca="false">T17/R17</f>
        <v>0.204189270644967</v>
      </c>
      <c r="R17" s="21" t="n">
        <v>66.36</v>
      </c>
      <c r="S17" s="20" t="n">
        <v>14.59</v>
      </c>
      <c r="T17" s="20" t="n">
        <v>13.55</v>
      </c>
    </row>
    <row r="18" customFormat="false" ht="15" hidden="false" customHeight="false" outlineLevel="0" collapsed="false">
      <c r="A18" s="9" t="s">
        <v>625</v>
      </c>
      <c r="B18" s="9" t="s">
        <v>626</v>
      </c>
      <c r="C18" s="9" t="s">
        <v>624</v>
      </c>
      <c r="D18" s="9" t="s">
        <v>621</v>
      </c>
      <c r="E18" s="21" t="n">
        <v>107.74</v>
      </c>
      <c r="F18" s="21" t="n">
        <v>267.8</v>
      </c>
      <c r="G18" s="77" t="n">
        <f aca="false">1</f>
        <v>1</v>
      </c>
      <c r="H18" s="24" t="n">
        <f aca="false">F18/G18</f>
        <v>267.8</v>
      </c>
      <c r="I18" s="21" t="n">
        <v>250.26</v>
      </c>
      <c r="J18" s="24" t="n">
        <f aca="false">I18/G18</f>
        <v>250.26</v>
      </c>
      <c r="K18" s="98" t="n">
        <v>1.63</v>
      </c>
      <c r="L18" s="98" t="n">
        <v>17.08</v>
      </c>
      <c r="M18" s="98" t="n">
        <v>35.7</v>
      </c>
      <c r="N18" s="98" t="n">
        <v>24.59</v>
      </c>
      <c r="O18" s="98" t="n">
        <v>13.63</v>
      </c>
      <c r="P18" s="30" t="n">
        <f aca="false">S18/R18</f>
        <v>0.0952288091523661</v>
      </c>
      <c r="Q18" s="30" t="n">
        <f aca="false">T18/R18</f>
        <v>0.0701378055122205</v>
      </c>
      <c r="R18" s="21" t="n">
        <v>153.84</v>
      </c>
      <c r="S18" s="20" t="n">
        <v>14.65</v>
      </c>
      <c r="T18" s="20" t="n">
        <v>10.79</v>
      </c>
    </row>
    <row r="19" customFormat="false" ht="15" hidden="false" customHeight="false" outlineLevel="0" collapsed="false">
      <c r="A19" s="9" t="s">
        <v>627</v>
      </c>
      <c r="B19" s="9" t="s">
        <v>628</v>
      </c>
      <c r="C19" s="9" t="s">
        <v>624</v>
      </c>
      <c r="D19" s="9" t="s">
        <v>621</v>
      </c>
      <c r="E19" s="21" t="n">
        <v>26.3</v>
      </c>
      <c r="F19" s="21" t="n">
        <v>35.35</v>
      </c>
      <c r="G19" s="77" t="n">
        <f aca="false">1</f>
        <v>1</v>
      </c>
      <c r="H19" s="24" t="n">
        <f aca="false">F19/G19</f>
        <v>35.35</v>
      </c>
      <c r="I19" s="21" t="n">
        <v>12.57</v>
      </c>
      <c r="J19" s="24" t="n">
        <f aca="false">I19/G19</f>
        <v>12.57</v>
      </c>
      <c r="K19" s="98" t="n">
        <v>0.06</v>
      </c>
      <c r="L19" s="98" t="n">
        <v>7.23</v>
      </c>
      <c r="M19" s="98" t="n">
        <v>38.98</v>
      </c>
      <c r="N19" s="98" t="n">
        <v>18.12</v>
      </c>
      <c r="O19" s="98" t="n">
        <v>6.39</v>
      </c>
      <c r="P19" s="30" t="n">
        <f aca="false">S19/R19</f>
        <v>0.00899875879189077</v>
      </c>
      <c r="Q19" s="30" t="n">
        <f aca="false">T19/R19</f>
        <v>0.011274306992139</v>
      </c>
      <c r="R19" s="21" t="n">
        <v>193.36</v>
      </c>
      <c r="S19" s="20" t="n">
        <v>1.74</v>
      </c>
      <c r="T19" s="20" t="n">
        <v>2.18</v>
      </c>
    </row>
    <row r="20" customFormat="false" ht="15" hidden="false" customHeight="false" outlineLevel="0" collapsed="false">
      <c r="A20" s="9" t="s">
        <v>629</v>
      </c>
      <c r="B20" s="9" t="s">
        <v>630</v>
      </c>
      <c r="C20" s="9" t="s">
        <v>624</v>
      </c>
      <c r="D20" s="9" t="s">
        <v>621</v>
      </c>
      <c r="E20" s="21" t="n">
        <v>246.67</v>
      </c>
      <c r="F20" s="21" t="n">
        <v>2660</v>
      </c>
      <c r="G20" s="77" t="n">
        <f aca="false">1</f>
        <v>1</v>
      </c>
      <c r="H20" s="24" t="n">
        <f aca="false">F20/G20</f>
        <v>2660</v>
      </c>
      <c r="I20" s="21" t="n">
        <v>2790</v>
      </c>
      <c r="J20" s="24" t="n">
        <f aca="false">I20/G20</f>
        <v>2790</v>
      </c>
      <c r="K20" s="98" t="n">
        <v>3.6</v>
      </c>
      <c r="L20" s="98" t="n">
        <v>16.51</v>
      </c>
      <c r="M20" s="98" t="n">
        <v>29.76</v>
      </c>
      <c r="N20" s="98" t="n">
        <v>19.84</v>
      </c>
      <c r="O20" s="98" t="n">
        <v>26.3</v>
      </c>
      <c r="P20" s="30" t="n">
        <f aca="false">S20/R20</f>
        <v>0.217757322607261</v>
      </c>
      <c r="Q20" s="30" t="n">
        <f aca="false">T20/R20</f>
        <v>0.174401815181518</v>
      </c>
      <c r="R20" s="21" t="n">
        <v>775.68</v>
      </c>
      <c r="S20" s="20" t="n">
        <v>168.91</v>
      </c>
      <c r="T20" s="20" t="n">
        <v>135.28</v>
      </c>
    </row>
    <row r="21" customFormat="false" ht="15" hidden="false" customHeight="false" outlineLevel="0" collapsed="false">
      <c r="A21" s="9" t="s">
        <v>631</v>
      </c>
      <c r="B21" s="9" t="s">
        <v>632</v>
      </c>
      <c r="C21" s="9" t="s">
        <v>624</v>
      </c>
      <c r="D21" s="9" t="s">
        <v>621</v>
      </c>
      <c r="E21" s="21" t="n">
        <v>1724.9</v>
      </c>
      <c r="F21" s="21" t="n">
        <v>87.45</v>
      </c>
      <c r="G21" s="77" t="n">
        <f aca="false">1</f>
        <v>1</v>
      </c>
      <c r="H21" s="24" t="n">
        <f aca="false">F21/G21</f>
        <v>87.45</v>
      </c>
      <c r="I21" s="21" t="n">
        <v>94.91</v>
      </c>
      <c r="J21" s="24" t="n">
        <f aca="false">I21/G21</f>
        <v>94.91</v>
      </c>
      <c r="K21" s="98" t="n">
        <v>2.7</v>
      </c>
      <c r="L21" s="98" t="n">
        <v>24.39</v>
      </c>
      <c r="M21" s="98" t="n">
        <v>32.65</v>
      </c>
      <c r="N21" s="98" t="n">
        <v>46.94</v>
      </c>
      <c r="O21" s="98" t="n">
        <v>40.95</v>
      </c>
      <c r="P21" s="30" t="n">
        <f aca="false">S21/R21</f>
        <v>0.110574189880614</v>
      </c>
      <c r="Q21" s="30" t="n">
        <f aca="false">T21/R21</f>
        <v>0.0528709494030699</v>
      </c>
      <c r="R21" s="21" t="n">
        <v>35.18</v>
      </c>
      <c r="S21" s="20" t="n">
        <v>3.89</v>
      </c>
      <c r="T21" s="20" t="n">
        <v>1.86</v>
      </c>
    </row>
    <row r="22" customFormat="false" ht="15" hidden="false" customHeight="false" outlineLevel="0" collapsed="false">
      <c r="A22" s="101" t="s">
        <v>633</v>
      </c>
      <c r="B22" s="101" t="s">
        <v>634</v>
      </c>
      <c r="C22" s="101" t="s">
        <v>635</v>
      </c>
      <c r="D22" s="101" t="s">
        <v>636</v>
      </c>
      <c r="E22" s="102" t="n">
        <f aca="false">Inputs!$C$5</f>
        <v>30.84</v>
      </c>
      <c r="F22" s="103" t="n">
        <f aca="false">Inputs!$C$19/1000</f>
        <v>136.28920459356</v>
      </c>
      <c r="G22" s="104" t="n">
        <f aca="false">Inputs!$C$6</f>
        <v>7.845</v>
      </c>
      <c r="H22" s="105" t="n">
        <f aca="false">F22/G22</f>
        <v>17.3727475581338</v>
      </c>
      <c r="I22" s="103" t="n">
        <f aca="false">J22*G22</f>
        <v>27.27196459356</v>
      </c>
      <c r="J22" s="105" t="n">
        <f aca="false">C43/1000</f>
        <v>3.47634985258891</v>
      </c>
      <c r="K22" s="106" t="n">
        <f aca="false">J22*1000/C37</f>
        <v>0.08268951386953</v>
      </c>
      <c r="L22" s="106" t="n">
        <f aca="false">J22*1000/C39</f>
        <v>2.20022142568918</v>
      </c>
      <c r="M22" s="106" t="n">
        <f aca="false">J22*1000/C38</f>
        <v>3.01243488092627</v>
      </c>
      <c r="N22" s="106" t="n">
        <f aca="false">H22*1000/C40</f>
        <v>14.5744526494411</v>
      </c>
      <c r="O22" s="106" t="n">
        <f aca="false">H22*1000/C41</f>
        <v>12.5836351645869</v>
      </c>
      <c r="P22" s="107" t="n">
        <f aca="false">S22/R22</f>
        <v>0.0375823600770676</v>
      </c>
      <c r="Q22" s="107" t="n">
        <f aca="false">T22/R22</f>
        <v>0.0283532741847244</v>
      </c>
      <c r="R22" s="103" t="n">
        <f aca="false">C37/1000*G22</f>
        <v>329.811645</v>
      </c>
      <c r="S22" s="108" t="n">
        <f aca="false">C39/1000*G22</f>
        <v>12.3951</v>
      </c>
      <c r="T22" s="108" t="n">
        <f aca="false">C40/1000*G22</f>
        <v>9.35124</v>
      </c>
    </row>
    <row r="24" customFormat="false" ht="15" hidden="false" customHeight="false" outlineLevel="0" collapsed="false">
      <c r="A24" s="36" t="s">
        <v>637</v>
      </c>
    </row>
    <row r="25" customFormat="false" ht="15" hidden="false" customHeight="false" outlineLevel="0" collapsed="false">
      <c r="A25" s="9" t="s">
        <v>638</v>
      </c>
      <c r="H25" s="24" t="n">
        <f aca="false">MAX(H11:H21)</f>
        <v>2660</v>
      </c>
      <c r="J25" s="24" t="n">
        <f aca="false">MAX(J11:J21)</f>
        <v>2790</v>
      </c>
      <c r="K25" s="83" t="n">
        <f aca="false">MAX(K11:K21)</f>
        <v>5.36</v>
      </c>
      <c r="L25" s="83" t="n">
        <f aca="false">MAX(L11:L21)</f>
        <v>24.39</v>
      </c>
      <c r="M25" s="83" t="n">
        <f aca="false">MAX(M11:M21)</f>
        <v>38.98</v>
      </c>
      <c r="N25" s="83" t="n">
        <f aca="false">MAX(N11:N21)</f>
        <v>59.31</v>
      </c>
      <c r="O25" s="83" t="n">
        <f aca="false">MAX(O11:O21)</f>
        <v>40.95</v>
      </c>
      <c r="P25" s="30" t="n">
        <f aca="false">MAX(P11:P21)</f>
        <v>0.236791080950073</v>
      </c>
      <c r="Q25" s="30" t="n">
        <f aca="false">MAX(Q11:Q21)</f>
        <v>0.204189270644967</v>
      </c>
    </row>
    <row r="26" customFormat="false" ht="15" hidden="false" customHeight="false" outlineLevel="0" collapsed="false">
      <c r="A26" s="9" t="s">
        <v>639</v>
      </c>
      <c r="H26" s="24" t="n">
        <f aca="false">QUARTILE(H11:H21,3)</f>
        <v>163.923965989848</v>
      </c>
      <c r="J26" s="24" t="n">
        <f aca="false">QUARTILE(J11:J21,3)</f>
        <v>157.691133502538</v>
      </c>
      <c r="K26" s="83" t="n">
        <f aca="false">QUARTILE(K11:K21,3)</f>
        <v>3.15</v>
      </c>
      <c r="L26" s="83" t="n">
        <f aca="false">QUARTILE(L11:L21,3)</f>
        <v>16.9375</v>
      </c>
      <c r="M26" s="83" t="n">
        <f aca="false">QUARTILE(M11:M21,3)</f>
        <v>31.9275</v>
      </c>
      <c r="N26" s="83" t="n">
        <f aca="false">QUARTILE(N11:N21,3)</f>
        <v>38.0425</v>
      </c>
      <c r="O26" s="83" t="n">
        <f aca="false">QUARTILE(O11:O21,3)</f>
        <v>25.6025</v>
      </c>
      <c r="P26" s="30" t="n">
        <f aca="false">QUARTILE(P11:P21,3)</f>
        <v>0.209509830134799</v>
      </c>
      <c r="Q26" s="30" t="n">
        <f aca="false">QUARTILE(Q11:Q21,3)</f>
        <v>0.145209307464228</v>
      </c>
    </row>
    <row r="27" customFormat="false" ht="15" hidden="false" customHeight="false" outlineLevel="0" collapsed="false">
      <c r="A27" s="6" t="s">
        <v>640</v>
      </c>
      <c r="H27" s="109" t="n">
        <f aca="false">MEDIAN(H11:H21)</f>
        <v>87.45</v>
      </c>
      <c r="J27" s="109" t="n">
        <f aca="false">MEDIAN(J11:J21)</f>
        <v>43.84</v>
      </c>
      <c r="K27" s="96" t="n">
        <f aca="false">MEDIAN(K11:K21)</f>
        <v>1.37</v>
      </c>
      <c r="L27" s="96" t="n">
        <f aca="false">MEDIAN(L11:L21)</f>
        <v>14.105</v>
      </c>
      <c r="M27" s="96" t="n">
        <f aca="false">MEDIAN(M11:M21)</f>
        <v>24.125</v>
      </c>
      <c r="N27" s="96" t="n">
        <f aca="false">MEDIAN(N11:N21)</f>
        <v>22.785</v>
      </c>
      <c r="O27" s="96" t="n">
        <f aca="false">MEDIAN(O11:O21)</f>
        <v>20.265</v>
      </c>
      <c r="P27" s="38" t="n">
        <f aca="false">MEDIAN(P11:P21)</f>
        <v>0.110574189880614</v>
      </c>
      <c r="Q27" s="38" t="n">
        <f aca="false">MEDIAN(Q11:Q21)</f>
        <v>0.0597690740321485</v>
      </c>
    </row>
    <row r="28" customFormat="false" ht="15" hidden="false" customHeight="false" outlineLevel="0" collapsed="false">
      <c r="A28" s="9" t="s">
        <v>641</v>
      </c>
      <c r="H28" s="24" t="n">
        <f aca="false">QUARTILE(H11:H21,1)</f>
        <v>15.6579404040404</v>
      </c>
      <c r="J28" s="24" t="n">
        <f aca="false">QUARTILE(J11:J21,1)</f>
        <v>9.2376</v>
      </c>
      <c r="K28" s="83" t="n">
        <f aca="false">QUARTILE(K11:K21,1)</f>
        <v>0.57</v>
      </c>
      <c r="L28" s="83" t="n">
        <f aca="false">QUARTILE(L11:L21,1)</f>
        <v>7.4775</v>
      </c>
      <c r="M28" s="83" t="n">
        <f aca="false">QUARTILE(M11:M21,1)</f>
        <v>15.09</v>
      </c>
      <c r="N28" s="83" t="n">
        <f aca="false">QUARTILE(N11:N21,1)</f>
        <v>19.2175</v>
      </c>
      <c r="O28" s="83" t="n">
        <f aca="false">QUARTILE(O11:O21,1)</f>
        <v>13.06</v>
      </c>
      <c r="P28" s="30" t="n">
        <f aca="false">QUARTILE(P11:P21,1)</f>
        <v>0.0574867358643018</v>
      </c>
      <c r="Q28" s="30" t="n">
        <f aca="false">QUARTILE(Q11:Q21,1)</f>
        <v>0.0320726281976045</v>
      </c>
    </row>
    <row r="29" customFormat="false" ht="15" hidden="false" customHeight="false" outlineLevel="0" collapsed="false">
      <c r="A29" s="9" t="s">
        <v>642</v>
      </c>
      <c r="H29" s="24" t="n">
        <f aca="false">MIN(H11:H21)</f>
        <v>0.7738</v>
      </c>
      <c r="J29" s="24" t="n">
        <f aca="false">MIN(J11:J21)</f>
        <v>1.23</v>
      </c>
      <c r="K29" s="83" t="n">
        <f aca="false">MIN(K11:K21)</f>
        <v>0.06</v>
      </c>
      <c r="L29" s="83" t="n">
        <f aca="false">MIN(L11:L21)</f>
        <v>3</v>
      </c>
      <c r="M29" s="83" t="n">
        <f aca="false">MIN(M11:M21)</f>
        <v>3.02</v>
      </c>
      <c r="N29" s="83" t="n">
        <f aca="false">MIN(N11:N21)</f>
        <v>8.46</v>
      </c>
      <c r="O29" s="83" t="n">
        <f aca="false">MIN(O11:O21)</f>
        <v>6.39</v>
      </c>
      <c r="P29" s="30" t="n">
        <f aca="false">MIN(P11:P21)</f>
        <v>-0.0318340611353712</v>
      </c>
      <c r="Q29" s="30" t="n">
        <f aca="false">MIN(Q11:Q21)</f>
        <v>-0.100829694323144</v>
      </c>
    </row>
    <row r="31" customFormat="false" ht="15" hidden="false" customHeight="false" outlineLevel="0" collapsed="false">
      <c r="A31" s="36" t="s">
        <v>643</v>
      </c>
    </row>
    <row r="32" customFormat="false" ht="15" hidden="false" customHeight="false" outlineLevel="0" collapsed="false">
      <c r="A32" s="9" t="s">
        <v>604</v>
      </c>
      <c r="K32" s="83" t="n">
        <f aca="false">MEDIAN(K11,K12,K13)</f>
        <v>3.92</v>
      </c>
      <c r="L32" s="83" t="n">
        <f aca="false">MEDIAN(L11,L12,L13)</f>
        <v>14.09</v>
      </c>
      <c r="M32" s="83" t="n">
        <f aca="false">MEDIAN(M11,M12,M13)</f>
        <v>19.22</v>
      </c>
      <c r="N32" s="83" t="n">
        <f aca="false">MEDIAN(N11,N12,N13)</f>
        <v>25.93</v>
      </c>
      <c r="O32" s="83" t="n">
        <f aca="false">MEDIAN(O11,O12,O13)</f>
        <v>23.51</v>
      </c>
      <c r="P32" s="30" t="n">
        <f aca="false">MEDIAN(P11,P12,P13)</f>
        <v>0.201262337662338</v>
      </c>
      <c r="Q32" s="30" t="n">
        <f aca="false">MEDIAN(Q11,Q12,Q13)</f>
        <v>0.135062337662338</v>
      </c>
    </row>
    <row r="33" customFormat="false" ht="15" hidden="false" customHeight="false" outlineLevel="0" collapsed="false">
      <c r="A33" s="9" t="s">
        <v>614</v>
      </c>
      <c r="K33" s="83" t="n">
        <f aca="false">MEDIAN(K14,K15,K16)</f>
        <v>0.48</v>
      </c>
      <c r="L33" s="83" t="n">
        <f aca="false">MEDIAN(L14,L15,L16)</f>
        <v>10.25</v>
      </c>
      <c r="M33" s="83" t="n">
        <f aca="false">MEDIAN(M14,M15,M16)</f>
        <v>13.69</v>
      </c>
      <c r="N33" s="83" t="n">
        <f aca="false">MEDIAN(N14,N15,N16)</f>
        <v>40.145</v>
      </c>
      <c r="O33" s="83" t="n">
        <f aca="false">MEDIAN(O14,O15,O16)</f>
        <v>17.035</v>
      </c>
      <c r="P33" s="30" t="n">
        <f aca="false">MEDIAN(P14,P15,P16)</f>
        <v>0.0484085862324204</v>
      </c>
      <c r="Q33" s="30" t="n">
        <f aca="false">MEDIAN(Q14,Q15,Q16)</f>
        <v>0.00701702442635085</v>
      </c>
    </row>
    <row r="34" customFormat="false" ht="15" hidden="false" customHeight="false" outlineLevel="0" collapsed="false">
      <c r="A34" s="9" t="s">
        <v>624</v>
      </c>
      <c r="K34" s="83" t="n">
        <f aca="false">MEDIAN(K17,K18,K19,K20,K21)</f>
        <v>1.63</v>
      </c>
      <c r="L34" s="83" t="n">
        <f aca="false">MEDIAN(L17,L18,L19,L20,L21)</f>
        <v>16.51</v>
      </c>
      <c r="M34" s="83" t="n">
        <f aca="false">MEDIAN(M17,M18,M19,M20,M21)</f>
        <v>32.65</v>
      </c>
      <c r="N34" s="83" t="n">
        <f aca="false">MEDIAN(N17,N18,N19,N20,N21)</f>
        <v>19.84</v>
      </c>
      <c r="O34" s="83" t="n">
        <f aca="false">MEDIAN(O17,O18,O19,O20,O21)</f>
        <v>13.63</v>
      </c>
      <c r="P34" s="30" t="n">
        <f aca="false">MEDIAN(P17,P18,P19,P20,P21)</f>
        <v>0.110574189880614</v>
      </c>
      <c r="Q34" s="30" t="n">
        <f aca="false">MEDIAN(Q17,Q18,Q19,Q20,Q21)</f>
        <v>0.0701378055122205</v>
      </c>
    </row>
    <row r="36" customFormat="false" ht="15" hidden="false" customHeight="false" outlineLevel="0" collapsed="false">
      <c r="A36" s="4" t="s">
        <v>644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customFormat="false" ht="15" hidden="false" customHeight="false" outlineLevel="0" collapsed="false">
      <c r="A37" s="9" t="s">
        <v>645</v>
      </c>
      <c r="C37" s="26" t="n">
        <f aca="false">'Income Statement'!E6-Interim!D9+Interim!I9</f>
        <v>42041</v>
      </c>
    </row>
    <row r="38" customFormat="false" ht="15" hidden="false" customHeight="false" outlineLevel="0" collapsed="false">
      <c r="A38" s="9" t="s">
        <v>646</v>
      </c>
      <c r="C38" s="26" t="n">
        <f aca="false">'Income Statement'!E29-Interim!D39+Interim!I39</f>
        <v>1154</v>
      </c>
    </row>
    <row r="39" customFormat="false" ht="15" hidden="false" customHeight="false" outlineLevel="0" collapsed="false">
      <c r="A39" s="9" t="s">
        <v>647</v>
      </c>
      <c r="C39" s="26" t="n">
        <f aca="false">C38+'Income Statement'!E36-Interim!D58+Interim!I58+'Income Statement'!E38-Interim!D59+Interim!I59</f>
        <v>1580</v>
      </c>
    </row>
    <row r="40" customFormat="false" ht="15" hidden="false" customHeight="false" outlineLevel="0" collapsed="false">
      <c r="A40" s="9" t="s">
        <v>648</v>
      </c>
      <c r="C40" s="26" t="n">
        <f aca="false">'Income Statement'!E58-Interim!D55+Interim!I55</f>
        <v>1192</v>
      </c>
    </row>
    <row r="41" customFormat="false" ht="15" hidden="false" customHeight="false" outlineLevel="0" collapsed="false">
      <c r="A41" s="9" t="s">
        <v>649</v>
      </c>
      <c r="C41" s="26" t="n">
        <f aca="false">0.25*'Income Statement'!F58+0.75*'Income Statement'!G58</f>
        <v>1380.58258451616</v>
      </c>
    </row>
    <row r="42" customFormat="false" ht="15" hidden="false" customHeight="false" outlineLevel="0" collapsed="false">
      <c r="A42" s="9" t="s">
        <v>650</v>
      </c>
      <c r="C42" s="39" t="n">
        <f aca="false">C41/Inputs!$C$17*Inputs!$C$6</f>
        <v>2.45080214076696</v>
      </c>
    </row>
    <row r="43" customFormat="false" ht="15" hidden="false" customHeight="false" outlineLevel="0" collapsed="false">
      <c r="A43" s="9" t="s">
        <v>651</v>
      </c>
      <c r="C43" s="26" t="n">
        <f aca="false">Inputs!$C$20-Inputs!$C$30-Inputs!$C$33</f>
        <v>3476.34985258891</v>
      </c>
    </row>
    <row r="45" customFormat="false" ht="15" hidden="false" customHeight="false" outlineLevel="0" collapsed="false">
      <c r="A45" s="4" t="s">
        <v>652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customFormat="false" ht="15" hidden="false" customHeight="false" outlineLevel="0" collapsed="false">
      <c r="A46" s="36" t="s">
        <v>653</v>
      </c>
      <c r="C46" s="36" t="s">
        <v>654</v>
      </c>
      <c r="D46" s="36" t="s">
        <v>655</v>
      </c>
      <c r="E46" s="36" t="s">
        <v>656</v>
      </c>
    </row>
    <row r="47" customFormat="false" ht="15" hidden="false" customHeight="false" outlineLevel="0" collapsed="false">
      <c r="A47" s="9" t="s">
        <v>657</v>
      </c>
      <c r="C47" s="83" t="n">
        <f aca="false">O27</f>
        <v>20.265</v>
      </c>
      <c r="D47" s="39" t="n">
        <f aca="false">C47*C42</f>
        <v>49.6655053826425</v>
      </c>
      <c r="E47" s="30" t="n">
        <f aca="false">D47/Inputs!$C$5-1</f>
        <v>0.610424947556503</v>
      </c>
    </row>
    <row r="48" customFormat="false" ht="15" hidden="false" customHeight="false" outlineLevel="0" collapsed="false">
      <c r="A48" s="9" t="s">
        <v>658</v>
      </c>
      <c r="C48" s="83" t="n">
        <f aca="false">O32</f>
        <v>23.51</v>
      </c>
      <c r="D48" s="39" t="n">
        <f aca="false">C48*C42</f>
        <v>57.6183583294313</v>
      </c>
      <c r="E48" s="30" t="n">
        <f aca="false">D48/Inputs!$C$5-1</f>
        <v>0.868299556726049</v>
      </c>
    </row>
    <row r="49" customFormat="false" ht="15" hidden="false" customHeight="false" outlineLevel="0" collapsed="false">
      <c r="A49" s="9" t="s">
        <v>659</v>
      </c>
      <c r="C49" s="83" t="n">
        <f aca="false">O33</f>
        <v>17.035</v>
      </c>
      <c r="D49" s="39" t="n">
        <f aca="false">C49*C42</f>
        <v>41.7494144679652</v>
      </c>
      <c r="E49" s="30" t="n">
        <f aca="false">D49/Inputs!$C$5-1</f>
        <v>0.353742362774489</v>
      </c>
    </row>
    <row r="50" customFormat="false" ht="15" hidden="false" customHeight="false" outlineLevel="0" collapsed="false">
      <c r="A50" s="9" t="s">
        <v>660</v>
      </c>
      <c r="C50" s="83" t="n">
        <f aca="false">O34</f>
        <v>13.63</v>
      </c>
      <c r="D50" s="39" t="n">
        <f aca="false">C50*C42</f>
        <v>33.4044331786537</v>
      </c>
      <c r="E50" s="30" t="n">
        <f aca="false">D50/Inputs!$C$5-1</f>
        <v>0.0831528268045958</v>
      </c>
    </row>
    <row r="51" customFormat="false" ht="15" hidden="false" customHeight="false" outlineLevel="0" collapsed="false">
      <c r="A51" s="9" t="s">
        <v>661</v>
      </c>
      <c r="C51" s="83" t="n">
        <f aca="false">M27</f>
        <v>24.125</v>
      </c>
      <c r="D51" s="39" t="n">
        <f aca="false">(C51*'Income Statement'!G33+Inputs!$C$30+Inputs!$C$33)/Inputs!$C$17*Inputs!$C$6</f>
        <v>84.842497286611</v>
      </c>
      <c r="E51" s="30" t="n">
        <f aca="false">D51/Inputs!$C$5-1</f>
        <v>1.75105373821696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10" min="6" style="0" width="12"/>
  </cols>
  <sheetData>
    <row r="1" customFormat="false" ht="15" hidden="false" customHeight="false" outlineLevel="0" collapsed="false">
      <c r="A1" s="1" t="s">
        <v>662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663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4" t="s">
        <v>664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5" hidden="false" customHeight="false" outlineLevel="0" collapsed="false">
      <c r="A5" s="9" t="s">
        <v>665</v>
      </c>
      <c r="C5" s="42" t="n">
        <f aca="false">Inputs!$C$5</f>
        <v>30.84</v>
      </c>
    </row>
    <row r="6" customFormat="false" ht="15" hidden="false" customHeight="false" outlineLevel="0" collapsed="false">
      <c r="A6" s="9" t="s">
        <v>200</v>
      </c>
      <c r="C6" s="42" t="n">
        <f aca="false">DCF!C49</f>
        <v>54.3524379710036</v>
      </c>
      <c r="D6" s="42" t="n">
        <f aca="false">Inputs!$C$55</f>
        <v>0.5</v>
      </c>
      <c r="E6" s="19" t="s">
        <v>666</v>
      </c>
    </row>
    <row r="7" customFormat="false" ht="15" hidden="false" customHeight="false" outlineLevel="0" collapsed="false">
      <c r="A7" s="9" t="s">
        <v>667</v>
      </c>
      <c r="C7" s="39" t="n">
        <f aca="false">Inputs!$C$54*'Income Statement'!G66</f>
        <v>36.0389280880973</v>
      </c>
      <c r="D7" s="42" t="n">
        <f aca="false">Inputs!$C$56</f>
        <v>0.5</v>
      </c>
    </row>
    <row r="8" customFormat="false" ht="15" hidden="false" customHeight="false" outlineLevel="0" collapsed="false">
      <c r="A8" s="9" t="s">
        <v>668</v>
      </c>
      <c r="C8" s="110" t="n">
        <f aca="false">C6*D6+C7*D7</f>
        <v>45.1956830295505</v>
      </c>
    </row>
    <row r="9" customFormat="false" ht="15" hidden="false" customHeight="false" outlineLevel="0" collapsed="false">
      <c r="A9" s="6" t="s">
        <v>669</v>
      </c>
      <c r="C9" s="92" t="n">
        <f aca="false">ROUND(C8*2,0)/2</f>
        <v>45</v>
      </c>
    </row>
    <row r="10" customFormat="false" ht="15" hidden="false" customHeight="false" outlineLevel="0" collapsed="false">
      <c r="A10" s="6" t="s">
        <v>6</v>
      </c>
      <c r="C10" s="38" t="n">
        <f aca="false">C9/C5-1</f>
        <v>0.459143968871595</v>
      </c>
    </row>
    <row r="11" customFormat="false" ht="15" hidden="false" customHeight="false" outlineLevel="0" collapsed="false">
      <c r="A11" s="6" t="s">
        <v>3</v>
      </c>
      <c r="C11" s="35" t="str">
        <f aca="false">IF(C10&gt;Inputs!$C$57,"BUY",IF(C10&lt;Inputs!$C$58,"SELL","HOLD"))</f>
        <v>BUY</v>
      </c>
    </row>
    <row r="12" customFormat="false" ht="15" hidden="false" customHeight="false" outlineLevel="0" collapsed="false">
      <c r="A12" s="9" t="s">
        <v>670</v>
      </c>
      <c r="C12" s="83" t="n">
        <f aca="false">C9/'Income Statement'!F66</f>
        <v>22.0375639953349</v>
      </c>
      <c r="D12" s="83" t="n">
        <f aca="false">C9/'Income Statement'!G66</f>
        <v>17.4810970642623</v>
      </c>
    </row>
    <row r="13" customFormat="false" ht="15" hidden="false" customHeight="false" outlineLevel="0" collapsed="false">
      <c r="A13" s="9" t="s">
        <v>671</v>
      </c>
      <c r="C13" s="26" t="n">
        <f aca="false">C9*Inputs!$C$17/Inputs!$C$6</f>
        <v>25349.3398221797</v>
      </c>
    </row>
    <row r="14" customFormat="false" ht="15" hidden="false" customHeight="false" outlineLevel="0" collapsed="false">
      <c r="A14" s="9" t="s">
        <v>672</v>
      </c>
      <c r="C14" s="26" t="n">
        <f aca="false">C13-Inputs!$C$30-Inputs!$C$33</f>
        <v>11452.9421166348</v>
      </c>
    </row>
    <row r="15" customFormat="false" ht="15" hidden="false" customHeight="false" outlineLevel="0" collapsed="false">
      <c r="A15" s="9" t="s">
        <v>673</v>
      </c>
      <c r="C15" s="83" t="n">
        <f aca="false">C14/'Income Statement'!G33</f>
        <v>8.15123812396109</v>
      </c>
    </row>
    <row r="17" customFormat="false" ht="15" hidden="false" customHeight="false" outlineLevel="0" collapsed="false">
      <c r="A17" s="4" t="s">
        <v>674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15" hidden="false" customHeight="false" outlineLevel="0" collapsed="false">
      <c r="B18" s="36"/>
      <c r="C18" s="36" t="s">
        <v>675</v>
      </c>
      <c r="D18" s="36" t="s">
        <v>676</v>
      </c>
      <c r="E18" s="36" t="s">
        <v>677</v>
      </c>
    </row>
    <row r="19" customFormat="false" ht="15" hidden="false" customHeight="false" outlineLevel="0" collapsed="false">
      <c r="A19" s="9" t="s">
        <v>678</v>
      </c>
      <c r="C19" s="42" t="n">
        <f aca="false">Inputs!$C$11</f>
        <v>29.9</v>
      </c>
      <c r="D19" s="42" t="n">
        <f aca="false">Inputs!$C$10</f>
        <v>48.56</v>
      </c>
      <c r="E19" s="17" t="s">
        <v>679</v>
      </c>
    </row>
    <row r="20" customFormat="false" ht="15" hidden="false" customHeight="false" outlineLevel="0" collapsed="false">
      <c r="A20" s="9" t="s">
        <v>680</v>
      </c>
      <c r="C20" s="42" t="n">
        <f aca="false">Inputs!$C$8</f>
        <v>47.6</v>
      </c>
      <c r="D20" s="42" t="n">
        <f aca="false">Inputs!$C$9</f>
        <v>49.5</v>
      </c>
      <c r="E20" s="17" t="s">
        <v>681</v>
      </c>
    </row>
    <row r="21" customFormat="false" ht="15" hidden="false" customHeight="false" outlineLevel="0" collapsed="false">
      <c r="A21" s="9" t="s">
        <v>682</v>
      </c>
      <c r="C21" s="39" t="n">
        <f aca="false">MIN(Sensitivity!D8:F10)</f>
        <v>50.871108386487</v>
      </c>
      <c r="D21" s="39" t="n">
        <f aca="false">MAX(Sensitivity!D8:F10)</f>
        <v>58.7448980067708</v>
      </c>
      <c r="E21" s="17" t="s">
        <v>683</v>
      </c>
    </row>
    <row r="22" customFormat="false" ht="15" hidden="false" customHeight="false" outlineLevel="0" collapsed="false">
      <c r="A22" s="9" t="s">
        <v>684</v>
      </c>
      <c r="C22" s="39" t="n">
        <f aca="false">12*'Income Statement'!G66</f>
        <v>30.8905097897977</v>
      </c>
      <c r="D22" s="39" t="n">
        <f aca="false">16*'Income Statement'!G66</f>
        <v>41.187346386397</v>
      </c>
      <c r="E22" s="17" t="s">
        <v>685</v>
      </c>
    </row>
    <row r="23" customFormat="false" ht="15" hidden="false" customHeight="false" outlineLevel="0" collapsed="false">
      <c r="A23" s="9" t="s">
        <v>686</v>
      </c>
      <c r="C23" s="39" t="n">
        <f aca="false">Comps!O28*Comps!C42</f>
        <v>32.0074759584166</v>
      </c>
      <c r="D23" s="39" t="n">
        <f aca="false">Comps!O26*Comps!C42</f>
        <v>62.7466618089862</v>
      </c>
      <c r="E23" s="17" t="s">
        <v>687</v>
      </c>
    </row>
    <row r="24" customFormat="false" ht="15" hidden="false" customHeight="false" outlineLevel="0" collapsed="false">
      <c r="A24" s="9" t="s">
        <v>688</v>
      </c>
      <c r="C24" s="39" t="n">
        <f aca="false">(8*'Income Statement'!G33+Inputs!$C$35)/Inputs!$C$17*Inputs!$C$6</f>
        <v>40.1847894622328</v>
      </c>
      <c r="D24" s="39" t="n">
        <f aca="false">(12*'Income Statement'!G33+Inputs!$C$35)/Inputs!$C$17*Inputs!$C$6</f>
        <v>50.1617748701287</v>
      </c>
      <c r="E24" s="17" t="s">
        <v>689</v>
      </c>
    </row>
    <row r="25" customFormat="false" ht="15" hidden="false" customHeight="false" outlineLevel="0" collapsed="false">
      <c r="A25" s="9" t="s">
        <v>690</v>
      </c>
      <c r="C25" s="42" t="n">
        <f aca="false">Scenarios!E76</f>
        <v>29.6385467231675</v>
      </c>
      <c r="D25" s="42" t="n">
        <f aca="false">Scenarios!C76</f>
        <v>61.3246250984522</v>
      </c>
      <c r="E25" s="17" t="s">
        <v>691</v>
      </c>
    </row>
    <row r="26" customFormat="false" ht="15" hidden="false" customHeight="false" outlineLevel="0" collapsed="false">
      <c r="A26" s="43" t="s">
        <v>692</v>
      </c>
      <c r="C26" s="111" t="n">
        <f aca="false">Inputs!$C$5</f>
        <v>30.84</v>
      </c>
      <c r="D26" s="111" t="n">
        <f aca="false">Inputs!$C$5</f>
        <v>30.84</v>
      </c>
    </row>
    <row r="27" customFormat="false" ht="15" hidden="false" customHeight="false" outlineLevel="0" collapsed="false">
      <c r="A27" s="43" t="s">
        <v>693</v>
      </c>
      <c r="C27" s="53" t="n">
        <f aca="false">C9</f>
        <v>45</v>
      </c>
      <c r="D27" s="53" t="n">
        <f aca="false">C9</f>
        <v>45</v>
      </c>
    </row>
    <row r="29" customFormat="false" ht="15" hidden="false" customHeight="false" outlineLevel="0" collapsed="false">
      <c r="A29" s="4" t="s">
        <v>694</v>
      </c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C30" s="37" t="s">
        <v>309</v>
      </c>
      <c r="D30" s="37" t="s">
        <v>212</v>
      </c>
      <c r="E30" s="37" t="s">
        <v>217</v>
      </c>
      <c r="F30" s="37" t="s">
        <v>158</v>
      </c>
      <c r="G30" s="37" t="s">
        <v>159</v>
      </c>
      <c r="H30" s="37" t="s">
        <v>160</v>
      </c>
    </row>
    <row r="31" customFormat="false" ht="15" hidden="false" customHeight="false" outlineLevel="0" collapsed="false">
      <c r="A31" s="6" t="s">
        <v>338</v>
      </c>
      <c r="C31" s="27" t="n">
        <f aca="false">'Income Statement'!D6</f>
        <v>38748</v>
      </c>
      <c r="D31" s="27" t="n">
        <f aca="false">'Income Statement'!E6</f>
        <v>41847</v>
      </c>
      <c r="E31" s="27" t="n">
        <f aca="false">'Income Statement'!F6</f>
        <v>41882.58</v>
      </c>
      <c r="F31" s="27" t="n">
        <f aca="false">'Income Statement'!G6</f>
        <v>43889.5416</v>
      </c>
      <c r="G31" s="27" t="n">
        <f aca="false">'Income Statement'!H6</f>
        <v>46959.938304</v>
      </c>
      <c r="H31" s="27" t="n">
        <f aca="false">'Income Statement'!I6</f>
        <v>50174.58302016</v>
      </c>
    </row>
    <row r="32" customFormat="false" ht="15" hidden="false" customHeight="false" outlineLevel="0" collapsed="false">
      <c r="A32" s="9" t="s">
        <v>313</v>
      </c>
      <c r="C32" s="41" t="n">
        <f aca="false">'Income Statement'!D7</f>
        <v>0.206990000934492</v>
      </c>
      <c r="D32" s="41" t="n">
        <f aca="false">'Income Statement'!E7</f>
        <v>0.0799783214617529</v>
      </c>
      <c r="E32" s="41" t="n">
        <f aca="false">'Income Statement'!F7</f>
        <v>0.000850240160584992</v>
      </c>
      <c r="F32" s="41" t="n">
        <f aca="false">'Income Statement'!G7</f>
        <v>0.0479187671819643</v>
      </c>
      <c r="G32" s="41" t="n">
        <f aca="false">'Income Statement'!H7</f>
        <v>0.0699573655150685</v>
      </c>
      <c r="H32" s="41" t="n">
        <f aca="false">'Income Statement'!I7</f>
        <v>0.0684550455613819</v>
      </c>
    </row>
    <row r="33" customFormat="false" ht="15" hidden="false" customHeight="false" outlineLevel="0" collapsed="false">
      <c r="A33" s="6" t="s">
        <v>510</v>
      </c>
      <c r="C33" s="27" t="n">
        <f aca="false">'Income Statement'!D33</f>
        <v>1037</v>
      </c>
      <c r="D33" s="27" t="n">
        <f aca="false">'Income Statement'!E33</f>
        <v>1792</v>
      </c>
      <c r="E33" s="27" t="n">
        <f aca="false">'Income Statement'!F33</f>
        <v>1124.539642</v>
      </c>
      <c r="F33" s="27" t="n">
        <f aca="false">'Income Statement'!G33</f>
        <v>1405.05551947601</v>
      </c>
      <c r="G33" s="27" t="n">
        <f aca="false">'Income Statement'!H33</f>
        <v>1856.6056987392</v>
      </c>
      <c r="H33" s="27" t="n">
        <f aca="false">'Income Statement'!I33</f>
        <v>2260.23175532895</v>
      </c>
    </row>
    <row r="34" customFormat="false" ht="15" hidden="false" customHeight="false" outlineLevel="0" collapsed="false">
      <c r="A34" s="9" t="s">
        <v>258</v>
      </c>
      <c r="C34" s="41" t="n">
        <f aca="false">'Income Statement'!D34</f>
        <v>0.0267626716217611</v>
      </c>
      <c r="D34" s="41" t="n">
        <f aca="false">'Income Statement'!E34</f>
        <v>0.0428226635123187</v>
      </c>
      <c r="E34" s="41" t="n">
        <f aca="false">'Income Statement'!F34</f>
        <v>0.026849817800145</v>
      </c>
      <c r="F34" s="41" t="n">
        <f aca="false">'Income Statement'!G34</f>
        <v>0.0320134471278235</v>
      </c>
      <c r="G34" s="41" t="n">
        <f aca="false">'Income Statement'!H34</f>
        <v>0.0395359484231064</v>
      </c>
      <c r="H34" s="41" t="n">
        <f aca="false">'Income Statement'!I34</f>
        <v>0.0450473450755096</v>
      </c>
    </row>
    <row r="35" customFormat="false" ht="15" hidden="false" customHeight="false" outlineLevel="0" collapsed="false">
      <c r="A35" s="6" t="s">
        <v>269</v>
      </c>
      <c r="C35" s="27" t="n">
        <f aca="false">'Income Statement'!D54</f>
        <v>3365</v>
      </c>
      <c r="D35" s="27" t="n">
        <f aca="false">'Income Statement'!E54</f>
        <v>2064</v>
      </c>
      <c r="E35" s="27" t="n">
        <f aca="false">'Income Statement'!F54</f>
        <v>6928.58698892062</v>
      </c>
      <c r="F35" s="27" t="n">
        <f aca="false">'Income Statement'!G54</f>
        <v>1357.3505557253</v>
      </c>
      <c r="G35" s="27" t="n">
        <f aca="false">'Income Statement'!H54</f>
        <v>1706.69434071961</v>
      </c>
      <c r="H35" s="27" t="n">
        <f aca="false">'Income Statement'!I54</f>
        <v>2035.24266427118</v>
      </c>
    </row>
    <row r="36" customFormat="false" ht="15" hidden="false" customHeight="false" outlineLevel="0" collapsed="false">
      <c r="A36" s="6" t="s">
        <v>369</v>
      </c>
      <c r="C36" s="27" t="n">
        <f aca="false">'Income Statement'!D58</f>
        <v>1119</v>
      </c>
      <c r="D36" s="27" t="n">
        <f aca="false">'Income Statement'!E58</f>
        <v>1816</v>
      </c>
      <c r="E36" s="27" t="n">
        <f aca="false">'Income Statement'!F58</f>
        <v>1150.27867088875</v>
      </c>
      <c r="F36" s="27" t="n">
        <f aca="false">'Income Statement'!G58</f>
        <v>1457.3505557253</v>
      </c>
      <c r="G36" s="27" t="n">
        <f aca="false">'Income Statement'!H58</f>
        <v>1811.69434071961</v>
      </c>
      <c r="H36" s="27" t="n">
        <f aca="false">'Income Statement'!I58</f>
        <v>2145.24266427118</v>
      </c>
    </row>
    <row r="37" customFormat="false" ht="15" hidden="false" customHeight="false" outlineLevel="0" collapsed="false">
      <c r="A37" s="6" t="s">
        <v>377</v>
      </c>
      <c r="C37" s="42" t="n">
        <f aca="false">'Income Statement'!D66</f>
        <v>1.98644226450194</v>
      </c>
      <c r="D37" s="42" t="n">
        <f aca="false">'Income Statement'!E66</f>
        <v>3.2237525936868</v>
      </c>
      <c r="E37" s="42" t="n">
        <f aca="false">'Income Statement'!F66</f>
        <v>2.04196797838118</v>
      </c>
      <c r="F37" s="42" t="n">
        <f aca="false">'Income Statement'!G66</f>
        <v>2.57420914914981</v>
      </c>
      <c r="G37" s="42" t="n">
        <f aca="false">'Income Statement'!H66</f>
        <v>3.18418773048129</v>
      </c>
      <c r="H37" s="42" t="n">
        <f aca="false">'Income Statement'!I66</f>
        <v>3.75166542315332</v>
      </c>
    </row>
    <row r="38" customFormat="false" ht="15" hidden="false" customHeight="false" outlineLevel="0" collapsed="false">
      <c r="A38" s="6" t="s">
        <v>381</v>
      </c>
      <c r="C38" s="42" t="n">
        <f aca="false">'Income Statement'!D70</f>
        <v>0</v>
      </c>
      <c r="D38" s="42" t="n">
        <f aca="false">'Income Statement'!E70</f>
        <v>0</v>
      </c>
      <c r="E38" s="42" t="n">
        <f aca="false">'Income Statement'!F70</f>
        <v>1.02098398919059</v>
      </c>
      <c r="F38" s="42" t="n">
        <f aca="false">'Income Statement'!G70</f>
        <v>1.28710457457491</v>
      </c>
      <c r="G38" s="42" t="n">
        <f aca="false">'Income Statement'!H70</f>
        <v>1.59209386524065</v>
      </c>
      <c r="H38" s="42" t="n">
        <f aca="false">'Income Statement'!I70</f>
        <v>1.87583271157666</v>
      </c>
    </row>
    <row r="39" customFormat="false" ht="15" hidden="false" customHeight="false" outlineLevel="0" collapsed="false">
      <c r="A39" s="6" t="s">
        <v>695</v>
      </c>
      <c r="C39" s="27" t="n">
        <f aca="false">'Cash Flow'!D48</f>
        <v>1510</v>
      </c>
      <c r="D39" s="27" t="n">
        <f aca="false">'Cash Flow'!E48</f>
        <v>2897</v>
      </c>
      <c r="E39" s="27" t="n">
        <f aca="false">'Cash Flow'!F48</f>
        <v>1058.4859912504</v>
      </c>
      <c r="F39" s="27" t="n">
        <f aca="false">'Cash Flow'!G48</f>
        <v>1568.19317706194</v>
      </c>
      <c r="G39" s="27" t="n">
        <f aca="false">'Cash Flow'!H48</f>
        <v>2011.1191399232</v>
      </c>
      <c r="H39" s="27" t="n">
        <f aca="false">'Cash Flow'!I48</f>
        <v>2354.33138064725</v>
      </c>
    </row>
    <row r="40" customFormat="false" ht="15" hidden="false" customHeight="false" outlineLevel="0" collapsed="false">
      <c r="A40" s="6" t="s">
        <v>696</v>
      </c>
      <c r="C40" s="27" t="n">
        <f aca="false">'Balance Sheet'!D56</f>
        <v>11721</v>
      </c>
      <c r="D40" s="27" t="n">
        <f aca="false">'Balance Sheet'!E56</f>
        <v>14786</v>
      </c>
      <c r="E40" s="27" t="n">
        <f aca="false">'Balance Sheet'!F56</f>
        <v>13915.8836967953</v>
      </c>
      <c r="F40" s="27" t="n">
        <f aca="false">'Balance Sheet'!G56</f>
        <v>14908.9375384129</v>
      </c>
      <c r="G40" s="27" t="n">
        <f aca="false">'Balance Sheet'!H56</f>
        <v>16191.3814004734</v>
      </c>
      <c r="H40" s="27" t="n">
        <f aca="false">'Balance Sheet'!I56</f>
        <v>17639.8656107609</v>
      </c>
    </row>
    <row r="41" customFormat="false" ht="15" hidden="false" customHeight="false" outlineLevel="0" collapsed="false">
      <c r="A41" s="9" t="s">
        <v>383</v>
      </c>
      <c r="C41" s="83" t="n">
        <f aca="false">Inputs!$C$5/'Income Statement'!D66</f>
        <v>15.5252435729525</v>
      </c>
      <c r="D41" s="83" t="n">
        <f aca="false">Inputs!$C$5/'Income Statement'!E66</f>
        <v>9.56649094610894</v>
      </c>
      <c r="E41" s="83" t="n">
        <f aca="false">Inputs!$C$5/'Income Statement'!F66</f>
        <v>15.1030771914695</v>
      </c>
      <c r="F41" s="83" t="n">
        <f aca="false">Inputs!$C$5/'Income Statement'!G66</f>
        <v>11.9803785213745</v>
      </c>
      <c r="G41" s="83" t="n">
        <f aca="false">Inputs!$C$5/'Income Statement'!H66</f>
        <v>9.68535859389752</v>
      </c>
      <c r="H41" s="83" t="n">
        <f aca="false">Inputs!$C$5/'Income Statement'!I66</f>
        <v>8.22034923734713</v>
      </c>
    </row>
    <row r="42" customFormat="false" ht="15" hidden="false" customHeight="false" outlineLevel="0" collapsed="false">
      <c r="A42" s="9" t="s">
        <v>697</v>
      </c>
      <c r="C42" s="83" t="n">
        <f aca="false">(Inputs!$C$20-Inputs!$C$30-Inputs!$C$33)/'Income Statement'!D33</f>
        <v>3.35231422621882</v>
      </c>
      <c r="D42" s="83" t="n">
        <f aca="false">(Inputs!$C$20-Inputs!$C$30-Inputs!$C$33)/'Income Statement'!E33</f>
        <v>1.93992737309649</v>
      </c>
      <c r="E42" s="83" t="n">
        <f aca="false">(Inputs!$C$20-Inputs!$C$30-Inputs!$C$33)/'Income Statement'!F33</f>
        <v>3.09135376179911</v>
      </c>
      <c r="F42" s="83" t="n">
        <f aca="false">(Inputs!$C$20-Inputs!$C$30-Inputs!$C$33)/'Income Statement'!G33</f>
        <v>2.47417258919801</v>
      </c>
      <c r="G42" s="83" t="n">
        <f aca="false">(Inputs!$C$20-Inputs!$C$30-Inputs!$C$33)/'Income Statement'!H33</f>
        <v>1.87242226766279</v>
      </c>
      <c r="H42" s="83" t="n">
        <f aca="false">(Inputs!$C$20-Inputs!$C$30-Inputs!$C$33)/'Income Statement'!I33</f>
        <v>1.53805017755047</v>
      </c>
    </row>
    <row r="43" customFormat="false" ht="15" hidden="false" customHeight="false" outlineLevel="0" collapsed="false">
      <c r="A43" s="9" t="s">
        <v>698</v>
      </c>
      <c r="C43" s="30" t="n">
        <f aca="false">'Income Statement'!D70/Inputs!$C$5</f>
        <v>0</v>
      </c>
      <c r="D43" s="30" t="n">
        <f aca="false">'Income Statement'!E70/Inputs!$C$5</f>
        <v>0</v>
      </c>
      <c r="E43" s="30" t="n">
        <f aca="false">'Income Statement'!F70/Inputs!$C$5</f>
        <v>0.0331058362253758</v>
      </c>
      <c r="F43" s="30" t="n">
        <f aca="false">'Income Statement'!G70/Inputs!$C$5</f>
        <v>0.0417349083844003</v>
      </c>
      <c r="G43" s="30" t="n">
        <f aca="false">'Income Statement'!H70/Inputs!$C$5</f>
        <v>0.051624314696519</v>
      </c>
      <c r="H43" s="30" t="n">
        <f aca="false">'Income Statement'!I70/Inputs!$C$5</f>
        <v>0.0608246663935363</v>
      </c>
    </row>
    <row r="44" customFormat="false" ht="15" hidden="false" customHeight="false" outlineLevel="0" collapsed="false">
      <c r="A44" s="9" t="s">
        <v>699</v>
      </c>
      <c r="C44" s="30" t="n">
        <f aca="false">'Cash Flow'!D48/Inputs!$C$20</f>
        <v>0.0869177425704908</v>
      </c>
      <c r="D44" s="30" t="n">
        <f aca="false">'Cash Flow'!E48/Inputs!$C$20</f>
        <v>0.166755430613716</v>
      </c>
      <c r="E44" s="30" t="n">
        <f aca="false">'Cash Flow'!F48/Inputs!$C$20</f>
        <v>0.0609279555642205</v>
      </c>
      <c r="F44" s="30" t="n">
        <f aca="false">'Cash Flow'!G48/Inputs!$C$20</f>
        <v>0.0902674244136889</v>
      </c>
      <c r="G44" s="30" t="n">
        <f aca="false">'Cash Flow'!H48/Inputs!$C$20</f>
        <v>0.115762871312869</v>
      </c>
      <c r="H44" s="30" t="n">
        <f aca="false">'Cash Flow'!I48/Inputs!$C$20</f>
        <v>0.135518654879951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11" min="3" style="0" width="11"/>
  </cols>
  <sheetData>
    <row r="1" customFormat="false" ht="15" hidden="false" customHeight="false" outlineLevel="0" collapsed="false">
      <c r="A1" s="1" t="s">
        <v>700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701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17"/>
      <c r="C4" s="44" t="s">
        <v>308</v>
      </c>
      <c r="D4" s="44" t="s">
        <v>309</v>
      </c>
      <c r="E4" s="44" t="s">
        <v>212</v>
      </c>
      <c r="F4" s="44" t="s">
        <v>217</v>
      </c>
      <c r="G4" s="44" t="s">
        <v>158</v>
      </c>
      <c r="H4" s="44" t="s">
        <v>159</v>
      </c>
      <c r="I4" s="44" t="s">
        <v>160</v>
      </c>
      <c r="J4" s="44" t="s">
        <v>161</v>
      </c>
      <c r="K4" s="44" t="s">
        <v>162</v>
      </c>
    </row>
    <row r="5" customFormat="false" ht="15" hidden="false" customHeight="false" outlineLevel="0" collapsed="false">
      <c r="A5" s="9" t="s">
        <v>702</v>
      </c>
      <c r="C5" s="112" t="b">
        <f aca="false">ABS('Balance Sheet'!C42)&lt;0.5</f>
        <v>1</v>
      </c>
      <c r="D5" s="112" t="b">
        <f aca="false">ABS('Balance Sheet'!D42)&lt;0.5</f>
        <v>1</v>
      </c>
      <c r="E5" s="112" t="b">
        <f aca="false">ABS('Balance Sheet'!E42)&lt;0.5</f>
        <v>1</v>
      </c>
      <c r="F5" s="112" t="b">
        <f aca="false">ABS('Balance Sheet'!F42)&lt;0.5</f>
        <v>1</v>
      </c>
      <c r="G5" s="112" t="b">
        <f aca="false">ABS('Balance Sheet'!G42)&lt;0.5</f>
        <v>1</v>
      </c>
      <c r="H5" s="112" t="b">
        <f aca="false">ABS('Balance Sheet'!H42)&lt;0.5</f>
        <v>1</v>
      </c>
      <c r="I5" s="112" t="b">
        <f aca="false">ABS('Balance Sheet'!I42)&lt;0.5</f>
        <v>1</v>
      </c>
      <c r="J5" s="112" t="b">
        <f aca="false">ABS('Balance Sheet'!J42)&lt;0.5</f>
        <v>1</v>
      </c>
      <c r="K5" s="112" t="b">
        <f aca="false">ABS('Balance Sheet'!K42)&lt;0.5</f>
        <v>1</v>
      </c>
    </row>
    <row r="6" customFormat="false" ht="15" hidden="false" customHeight="false" outlineLevel="0" collapsed="false">
      <c r="A6" s="9" t="s">
        <v>703</v>
      </c>
      <c r="C6" s="112" t="b">
        <f aca="false">ABS('Cash Flow'!C45-'Balance Sheet'!C6)&lt;0.5</f>
        <v>1</v>
      </c>
      <c r="D6" s="112" t="b">
        <f aca="false">ABS('Cash Flow'!D45-'Balance Sheet'!D6)&lt;0.5</f>
        <v>1</v>
      </c>
      <c r="E6" s="112" t="b">
        <f aca="false">ABS('Cash Flow'!E45-'Balance Sheet'!E6)&lt;0.5</f>
        <v>1</v>
      </c>
      <c r="F6" s="112" t="b">
        <f aca="false">ABS('Cash Flow'!F45-'Balance Sheet'!F6)&lt;0.5</f>
        <v>1</v>
      </c>
      <c r="G6" s="112" t="b">
        <f aca="false">ABS('Cash Flow'!G45-'Balance Sheet'!G6)&lt;0.5</f>
        <v>1</v>
      </c>
      <c r="H6" s="112" t="b">
        <f aca="false">ABS('Cash Flow'!H45-'Balance Sheet'!H6)&lt;0.5</f>
        <v>1</v>
      </c>
      <c r="I6" s="112" t="b">
        <f aca="false">ABS('Cash Flow'!I45-'Balance Sheet'!I6)&lt;0.5</f>
        <v>1</v>
      </c>
      <c r="J6" s="112" t="b">
        <f aca="false">ABS('Cash Flow'!J45-'Balance Sheet'!J6)&lt;0.5</f>
        <v>1</v>
      </c>
      <c r="K6" s="112" t="b">
        <f aca="false">ABS('Cash Flow'!K45-'Balance Sheet'!K6)&lt;0.5</f>
        <v>1</v>
      </c>
    </row>
    <row r="7" customFormat="false" ht="15" hidden="false" customHeight="false" outlineLevel="0" collapsed="false">
      <c r="A7" s="9" t="s">
        <v>704</v>
      </c>
      <c r="C7" s="112" t="b">
        <f aca="false">ABS('Revenue Model'!C49)&lt;0.5</f>
        <v>1</v>
      </c>
      <c r="D7" s="112" t="b">
        <f aca="false">ABS('Revenue Model'!D49)&lt;0.5</f>
        <v>1</v>
      </c>
      <c r="E7" s="112" t="b">
        <f aca="false">ABS('Revenue Model'!E49)&lt;0.5</f>
        <v>1</v>
      </c>
      <c r="F7" s="112" t="b">
        <f aca="false">ABS('Revenue Model'!F49)&lt;0.5</f>
        <v>1</v>
      </c>
      <c r="G7" s="112" t="b">
        <f aca="false">ABS('Revenue Model'!G49)&lt;0.5</f>
        <v>1</v>
      </c>
      <c r="H7" s="112" t="b">
        <f aca="false">ABS('Revenue Model'!H49)&lt;0.5</f>
        <v>1</v>
      </c>
      <c r="I7" s="112" t="b">
        <f aca="false">ABS('Revenue Model'!I49)&lt;0.5</f>
        <v>1</v>
      </c>
      <c r="J7" s="112" t="b">
        <f aca="false">ABS('Revenue Model'!J49)&lt;0.5</f>
        <v>1</v>
      </c>
      <c r="K7" s="112" t="b">
        <f aca="false">ABS('Revenue Model'!K49)&lt;0.5</f>
        <v>1</v>
      </c>
    </row>
    <row r="8" customFormat="false" ht="15" hidden="false" customHeight="false" outlineLevel="0" collapsed="false">
      <c r="A8" s="9" t="s">
        <v>705</v>
      </c>
      <c r="C8" s="112" t="b">
        <f aca="false">ABS('Revenue Model'!C50)&lt;0.5</f>
        <v>1</v>
      </c>
      <c r="D8" s="112" t="b">
        <f aca="false">ABS('Revenue Model'!D50)&lt;0.5</f>
        <v>1</v>
      </c>
      <c r="E8" s="112" t="b">
        <f aca="false">ABS('Revenue Model'!E50)&lt;0.5</f>
        <v>1</v>
      </c>
      <c r="F8" s="112" t="b">
        <f aca="false">ABS('Revenue Model'!F50)&lt;0.5</f>
        <v>1</v>
      </c>
      <c r="G8" s="112" t="b">
        <f aca="false">ABS('Revenue Model'!G50)&lt;0.5</f>
        <v>1</v>
      </c>
      <c r="H8" s="112" t="b">
        <f aca="false">ABS('Revenue Model'!H50)&lt;0.5</f>
        <v>1</v>
      </c>
      <c r="I8" s="112" t="b">
        <f aca="false">ABS('Revenue Model'!I50)&lt;0.5</f>
        <v>1</v>
      </c>
      <c r="J8" s="112" t="b">
        <f aca="false">ABS('Revenue Model'!J50)&lt;0.5</f>
        <v>1</v>
      </c>
      <c r="K8" s="112" t="b">
        <f aca="false">ABS('Revenue Model'!K50)&lt;0.5</f>
        <v>1</v>
      </c>
    </row>
    <row r="9" customFormat="false" ht="15" hidden="false" customHeight="false" outlineLevel="0" collapsed="false">
      <c r="A9" s="9" t="s">
        <v>706</v>
      </c>
      <c r="C9" s="112" t="b">
        <f aca="false">ABS('Income Statement'!C54-CHOOSE(COLUMN()-2,2789,3365,2064))&lt;0.5</f>
        <v>1</v>
      </c>
      <c r="D9" s="112" t="b">
        <f aca="false">ABS('Income Statement'!D54-CHOOSE(COLUMN()-2,2789,3365,2064))&lt;0.5</f>
        <v>1</v>
      </c>
      <c r="E9" s="112" t="b">
        <f aca="false">ABS('Income Statement'!E54-CHOOSE(COLUMN()-2,2789,3365,2064))&lt;0.5</f>
        <v>1</v>
      </c>
    </row>
    <row r="10" customFormat="false" ht="15" hidden="false" customHeight="false" outlineLevel="0" collapsed="false">
      <c r="A10" s="9" t="s">
        <v>707</v>
      </c>
      <c r="C10" s="112" t="b">
        <f aca="false">ABS('Income Statement'!C29-CHOOSE(COLUMN()-2,1376,966,1707))&lt;0.5</f>
        <v>1</v>
      </c>
      <c r="D10" s="112" t="b">
        <f aca="false">ABS('Income Statement'!D29-CHOOSE(COLUMN()-2,1376,966,1707))&lt;0.5</f>
        <v>1</v>
      </c>
      <c r="E10" s="112" t="b">
        <f aca="false">ABS('Income Statement'!E29-CHOOSE(COLUMN()-2,1376,966,1707))&lt;0.5</f>
        <v>1</v>
      </c>
    </row>
    <row r="11" customFormat="false" ht="15" hidden="false" customHeight="false" outlineLevel="0" collapsed="false">
      <c r="A11" s="9" t="s">
        <v>708</v>
      </c>
      <c r="C11" s="112" t="b">
        <f aca="false">ABS('Cash Flow'!C24-CHOOSE(COLUMN()-2,1757,1405,2838))&lt;0.5</f>
        <v>1</v>
      </c>
      <c r="D11" s="112" t="b">
        <f aca="false">ABS('Cash Flow'!D24-CHOOSE(COLUMN()-2,1757,1405,2838))&lt;0.5</f>
        <v>1</v>
      </c>
      <c r="E11" s="112" t="b">
        <f aca="false">ABS('Cash Flow'!E24-CHOOSE(COLUMN()-2,1757,1405,2838))&lt;0.5</f>
        <v>1</v>
      </c>
    </row>
    <row r="12" customFormat="false" ht="15" hidden="false" customHeight="false" outlineLevel="0" collapsed="false">
      <c r="A12" s="9" t="s">
        <v>709</v>
      </c>
      <c r="C12" s="112" t="b">
        <f aca="false">ABS('Cash Flow'!C32-CHOOSE(COLUMN()-2,-4168,-1820,-1066))&lt;0.5</f>
        <v>1</v>
      </c>
      <c r="D12" s="112" t="b">
        <f aca="false">ABS('Cash Flow'!D32-CHOOSE(COLUMN()-2,-4168,-1820,-1066))&lt;0.5</f>
        <v>1</v>
      </c>
      <c r="E12" s="112" t="b">
        <f aca="false">ABS('Cash Flow'!E32-CHOOSE(COLUMN()-2,-4168,-1820,-1066))&lt;0.5</f>
        <v>1</v>
      </c>
    </row>
    <row r="13" customFormat="false" ht="15" hidden="false" customHeight="false" outlineLevel="0" collapsed="false">
      <c r="A13" s="9" t="s">
        <v>710</v>
      </c>
      <c r="C13" s="112" t="b">
        <f aca="false">ABS('Balance Sheet'!C24-CHOOSE(COLUMN()-2,14818,17321,20033))&lt;0.5</f>
        <v>1</v>
      </c>
      <c r="D13" s="112" t="b">
        <f aca="false">ABS('Balance Sheet'!D24-CHOOSE(COLUMN()-2,14818,17321,20033))&lt;0.5</f>
        <v>1</v>
      </c>
      <c r="E13" s="112" t="b">
        <f aca="false">ABS('Balance Sheet'!E24-CHOOSE(COLUMN()-2,14818,17321,20033))&lt;0.5</f>
        <v>1</v>
      </c>
    </row>
    <row r="14" customFormat="false" ht="15" hidden="false" customHeight="false" outlineLevel="0" collapsed="false">
      <c r="A14" s="9" t="s">
        <v>711</v>
      </c>
      <c r="C14" s="112" t="b">
        <f aca="false">AND(ABS(Interim!I9-20134)&lt;0.5,ABS(Interim!I39-493)&lt;0.5,ABS(Interim!I53-2299)&lt;0.5,ABS(Interim!I55-499)&lt;0.5)</f>
        <v>1</v>
      </c>
    </row>
    <row r="15" customFormat="false" ht="15" hidden="false" customHeight="false" outlineLevel="0" collapsed="false">
      <c r="A15" s="9" t="s">
        <v>712</v>
      </c>
      <c r="C15" s="112" t="b">
        <f aca="false">AND(ABS(Interim!D9-19940)&lt;0.5,ABS(Interim!D39-1046)&lt;0.5,ABS(Interim!D53-1086)&lt;0.5,ABS(Interim!D55-1123)&lt;0.5)</f>
        <v>1</v>
      </c>
    </row>
    <row r="16" customFormat="false" ht="15" hidden="false" customHeight="false" outlineLevel="0" collapsed="false">
      <c r="A16" s="9" t="s">
        <v>713</v>
      </c>
      <c r="C16" s="112" t="b">
        <f aca="false">ABS(Interim!I87-15248)&lt;0.5</f>
        <v>1</v>
      </c>
    </row>
    <row r="17" customFormat="false" ht="15" hidden="false" customHeight="false" outlineLevel="0" collapsed="false">
      <c r="A17" s="9" t="s">
        <v>714</v>
      </c>
      <c r="F17" s="112" t="b">
        <f aca="false">ABS('Income Statement'!F6-Interim!I9-Interim!J9)&lt;0.5</f>
        <v>1</v>
      </c>
    </row>
    <row r="18" customFormat="false" ht="15" hidden="false" customHeight="false" outlineLevel="0" collapsed="false">
      <c r="A18" s="9" t="s">
        <v>715</v>
      </c>
      <c r="C18" s="112" t="b">
        <f aca="false">OR(Scenarios!C4=1,Scenarios!C4=2,Scenarios!C4=3)</f>
        <v>1</v>
      </c>
    </row>
    <row r="19" customFormat="false" ht="15" hidden="false" customHeight="false" outlineLevel="0" collapsed="false">
      <c r="A19" s="9" t="s">
        <v>716</v>
      </c>
      <c r="F19" s="112" t="b">
        <f aca="false">ABS('Balance Sheet'!F47+'Balance Sheet'!F48+'Balance Sheet'!F49-Inputs!$C$39*Inputs!$C$7/Inputs!$C$6)&lt;0.5</f>
        <v>1</v>
      </c>
    </row>
    <row r="20" customFormat="false" ht="15" hidden="false" customHeight="false" outlineLevel="0" collapsed="false">
      <c r="A20" s="6" t="s">
        <v>717</v>
      </c>
      <c r="C20" s="113" t="b">
        <f aca="false">AND(C5:K19)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2026-09-30T10:50:40Z</dcterms:created>
  <dc:creator>openpyxl</dc:creator>
  <dc:description/>
  <dc:language>en-US</dc:language>
  <cp:lastModifiedBy/>
  <dcterms:modified xsi:type="dcterms:W3CDTF">2026-09-30T10:50:40Z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